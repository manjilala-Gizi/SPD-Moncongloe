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=KEGIATAN 2026\File Bunda\"/>
    </mc:Choice>
  </mc:AlternateContent>
  <xr:revisionPtr revIDLastSave="0" documentId="13_ncr:1_{A13C12BE-99CE-41E5-B7B8-DB866F5F0989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Petunjuk" sheetId="1" r:id="rId1"/>
    <sheet name="Kegiatan" sheetId="2" r:id="rId2"/>
    <sheet name="Pegawai" sheetId="3" r:id="rId3"/>
    <sheet name="Penugasan" sheetId="4" r:id="rId4"/>
  </sheets>
  <definedNames>
    <definedName name="_xlnm._FilterDatabase" localSheetId="3" hidden="1">Penugasan!$A$1:$H$200</definedName>
  </definedNames>
  <calcPr calcId="191029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<sst xmlns="http://schemas.openxmlformats.org/spreadsheetml/2006/main" count="245" uniqueCount="142">
  <si>
    <t>TEMPLATE INPUT SPD – UPTD PUSKESMAS MONCONGLOE</t>
  </si>
  <si>
    <t>Cara mengisi</t>
  </si>
  <si>
    <t>1. Sheet 'Kegiatan': isi data umum satu surat tugas (sekali saja per ST).</t>
  </si>
  <si>
    <t>2. Sheet 'Penugasan': satu BARIS = satu KUNJUNGAN. Pilih nama pegawai dari dropdown; NIP/NIK, pangkat, dan jabatan terisi otomatis.</t>
  </si>
  <si>
    <t xml:space="preserve">3. Kolom Nomor SPD cukup diisi ANGKA URUT (mis. 2006). Nomor lengkap dirakit otomatis: angka urut/Kode Nomor SPD/bulan romawi/tahun dari Tanggal dikeluarkan (lihat kolom I). Satu pegawai = satu nomor; ulangi baris dengan angka yang SAMA untuk setiap kunjungannya.</t>
  </si>
  <si>
    <t xml:space="preserve">4. Kolom 'Cek' harus bernilai OK di semua baris sebelum file diupload ke aplikasi.</t>
  </si>
  <si>
    <t>5. Sheet 'Pegawai': daftar induk pegawai. Tambah/ubah di sini (nama harus persis sama dengan yang dipilih di Penugasan).</t>
  </si>
  <si>
    <t>Kode warna</t>
  </si>
  <si>
    <t>Sel kuning muda dengan huruf biru = isian yang harus diedit petugas.</t>
  </si>
  <si>
    <t>Sel abu-abu = terisi otomatis, jangan diubah.</t>
  </si>
  <si>
    <t xml:space="preserve">Catatan</t>
  </si>
  <si>
    <t xml:space="preserve">Daftar pegawai (sheet Pegawai) dikelola di repo aplikasi. Unduh template terbaru dari aplikasi setiap kali akan mengisi.</t>
  </si>
  <si>
    <t xml:space="preserve">Lebih dari 6 kunjungan tetap satu SPD dengan nomor yang sama; aplikasi menambah halaman belakang (6 kunjungan per halaman).</t>
  </si>
  <si>
    <t xml:space="preserve">Nama sheet hasil: nama depan_tanggal kunjungan pertama (dd-mm), misalnya Riski_06-08.</t>
  </si>
  <si>
    <t xml:space="preserve">Format tanggal di kolom Tanggal: dd-mm-yyyy (isi sebagai tanggal, bukan teks).</t>
  </si>
  <si>
    <t>Isian</t>
  </si>
  <si>
    <t>Nilai</t>
  </si>
  <si>
    <t>Keterangan</t>
  </si>
  <si>
    <t>Nomor Surat Tugas</t>
  </si>
  <si>
    <t>2306/ST-BOK/PKM-ML/VIII/2026</t>
  </si>
  <si>
    <t>Referensi ST</t>
  </si>
  <si>
    <t>Tanggal dikeluarkan (SPD)</t>
  </si>
  <si>
    <t>Tampil di 'Dikeluarkan di / Tanggal'</t>
  </si>
  <si>
    <t>Tempat dikeluarkan</t>
  </si>
  <si>
    <t>Moncongloe</t>
  </si>
  <si>
    <t>Pengguna Anggaran/Kuasa Pengguna Anggaran</t>
  </si>
  <si>
    <t>Kepala UPTD Puskesmas Moncongloe</t>
  </si>
  <si>
    <t>Item 1 SPD</t>
  </si>
  <si>
    <t>Maksud Perjalanan Dinas</t>
  </si>
  <si>
    <t>Kelas Ibu Balita</t>
  </si>
  <si>
    <t>Item 4 SPD</t>
  </si>
  <si>
    <t>Tingkat Biaya Perjalanan Dinas</t>
  </si>
  <si>
    <t>Biasa</t>
  </si>
  <si>
    <t>Item 3c SPD</t>
  </si>
  <si>
    <t>Alat Angkut yang dipergunakan</t>
  </si>
  <si>
    <t>Kendaraan Roda Dua</t>
  </si>
  <si>
    <t>Item 5 SPD</t>
  </si>
  <si>
    <t>Tempat Berangkat</t>
  </si>
  <si>
    <t>UPTD Puskesmas Moncongloe</t>
  </si>
  <si>
    <t>Item 6a SPD</t>
  </si>
  <si>
    <t>SKPD</t>
  </si>
  <si>
    <t>Item 9a SPD</t>
  </si>
  <si>
    <t>Kode Rekening</t>
  </si>
  <si>
    <t>1 02 02 2.02 0015</t>
  </si>
  <si>
    <t>Item 9b SPD</t>
  </si>
  <si>
    <t>Keterangan lain-lain</t>
  </si>
  <si>
    <t>-</t>
  </si>
  <si>
    <t>Item 10 SPD</t>
  </si>
  <si>
    <t>Nama Pejabat Penandatangan</t>
  </si>
  <si>
    <t>Muliati, SKM, M.Kes.</t>
  </si>
  <si>
    <t>NIP Pejabat Penandatangan</t>
  </si>
  <si>
    <t>197811302015082001</t>
  </si>
  <si>
    <t>Nama (dan gelar)</t>
  </si>
  <si>
    <t>NIP / NIK</t>
  </si>
  <si>
    <t>Pangkat / Gol. Ruang</t>
  </si>
  <si>
    <t>Jabatan</t>
  </si>
  <si>
    <t>RAHMIYATI R, S.Tr.Gz</t>
  </si>
  <si>
    <t>19951017 201903 2 006</t>
  </si>
  <si>
    <t>Penata Muda Tk.I/III.b</t>
  </si>
  <si>
    <t>Nutrisionis Ahli Pertama</t>
  </si>
  <si>
    <t>NUR FAHMI, S.Tr.Gz</t>
  </si>
  <si>
    <t>19810510 200604 2 019</t>
  </si>
  <si>
    <t>Pembina / IV.a</t>
  </si>
  <si>
    <t>Nutrisionis Ahli Madya</t>
  </si>
  <si>
    <t>STARTI TAKWIN, S. Gz</t>
  </si>
  <si>
    <t>19901030 201402 2 004</t>
  </si>
  <si>
    <t>Penata Tk.1 / III.d</t>
  </si>
  <si>
    <t>Nutrisionis Ahli Muda</t>
  </si>
  <si>
    <t>MUSYARRAFAH HAMDANI, SKM,M.KM</t>
  </si>
  <si>
    <t>19920514 202204 2 001</t>
  </si>
  <si>
    <t>Penata Muda Tk 1 / III.b</t>
  </si>
  <si>
    <t>Penyuluh Kesehatan Masyarakat Ahli Pertama</t>
  </si>
  <si>
    <t>NURHAYATI, A.Md.Keb</t>
  </si>
  <si>
    <t>19741110 201508 2 001</t>
  </si>
  <si>
    <t>Pengatur Tk.1 / II.d</t>
  </si>
  <si>
    <t>Bidan Terampil</t>
  </si>
  <si>
    <t>A. TENRI RAMDANI AGUNG, S.KM</t>
  </si>
  <si>
    <t>19960128 202421 2 001</t>
  </si>
  <si>
    <t>9</t>
  </si>
  <si>
    <t>Tenaga Promosi Kesehatan dan Ilmu Perilaku Ahli Pertama</t>
  </si>
  <si>
    <t>SITTI HAWANIA, Amd.Keb</t>
  </si>
  <si>
    <t>19960128 202421 2 010</t>
  </si>
  <si>
    <t>7</t>
  </si>
  <si>
    <t>Juliana, A.Md.Keb</t>
  </si>
  <si>
    <t>198907042025212145</t>
  </si>
  <si>
    <t>Riska Damayanti, A.Md.Keb</t>
  </si>
  <si>
    <t>199404282025212131</t>
  </si>
  <si>
    <t>Megawati, A.Md.Keb</t>
  </si>
  <si>
    <t>7309134302930001</t>
  </si>
  <si>
    <t>Bidan</t>
  </si>
  <si>
    <t>Mardiana, A.Md. Keb</t>
  </si>
  <si>
    <t>7309134105960002</t>
  </si>
  <si>
    <t>Hermitha Febrianti Sari, A.Md.Keb</t>
  </si>
  <si>
    <t>7309015602000003</t>
  </si>
  <si>
    <t>Mega Utami, A.Md.Keb</t>
  </si>
  <si>
    <t>7371126208980002</t>
  </si>
  <si>
    <t>Ririn Agreani</t>
  </si>
  <si>
    <t>198602132025212061</t>
  </si>
  <si>
    <t>Pelaksana Gizi</t>
  </si>
  <si>
    <t>Riski Ilhani, A.Md.GZ</t>
  </si>
  <si>
    <t>7309137007930001</t>
  </si>
  <si>
    <t>Nomor SPD</t>
  </si>
  <si>
    <t>Nama Pegawai</t>
  </si>
  <si>
    <t>Tempat Tujuan</t>
  </si>
  <si>
    <t>Tanggal</t>
  </si>
  <si>
    <t>Pangkat / Gol.</t>
  </si>
  <si>
    <t>Cek</t>
  </si>
  <si>
    <t>Tokka Desa Bonto Marannu</t>
  </si>
  <si>
    <t>Leko Desa Bonto Marannu</t>
  </si>
  <si>
    <t>Jambua Desa Bonto Marannu</t>
  </si>
  <si>
    <t>Nirwana Desa Moncongloe Lappara</t>
  </si>
  <si>
    <t>Bonto Bunga Desa Bonto Bunga</t>
  </si>
  <si>
    <t>Moncongloe Lappara Desa Moncongloe Lappara</t>
  </si>
  <si>
    <t>Diccekang Desa Moncongloe Bulu</t>
  </si>
  <si>
    <t>Asabri Desa Moncongloe Lappara</t>
  </si>
  <si>
    <t>Ballapati Desa Moncongloe Lappara</t>
  </si>
  <si>
    <t>Manjalling Desa Bonto Bunga</t>
  </si>
  <si>
    <t>Baruga Desa Moncongloe Lappara</t>
  </si>
  <si>
    <t>Home Base Desa Moncongloe Bulu</t>
  </si>
  <si>
    <t>Tompo Balang Desa Moncongloe Bulu</t>
  </si>
  <si>
    <t>Tammu-tammu Desa Moncongloe Bulu</t>
  </si>
  <si>
    <t>Biring Jene Desa Moncongloe</t>
  </si>
  <si>
    <t>Pamanjengan Desa Moncongloe</t>
  </si>
  <si>
    <t>Panaikang Desa Moncongloe</t>
  </si>
  <si>
    <t>Zipur Desa Moncongloe Bulu</t>
  </si>
  <si>
    <t>Tamalate Desa Moncongloe Bulu</t>
  </si>
  <si>
    <t>Jene Tallasa Desa Bonto Bunga</t>
  </si>
  <si>
    <t>2309/SPD-BOK/PKM-ML/VIII/2026</t>
  </si>
  <si>
    <t>2310/SPD-BOK/PKM-ML/VIII/2026</t>
  </si>
  <si>
    <t>2311/SPD-BOK/PKM-ML/VIII/2026</t>
  </si>
  <si>
    <t>2312/SPD-BOK/PKM-ML/VIII/2026</t>
  </si>
  <si>
    <t>2313/SPD-BOK/PKM-ML/VIII/2026</t>
  </si>
  <si>
    <t>2314/SPD-BOK/PKM-ML/VIII/2026</t>
  </si>
  <si>
    <t>2315/SPD-BOK/PKM-ML/VIII/2026</t>
  </si>
  <si>
    <t>2316/SPD-BOK/PKM-ML/VIII/2026</t>
  </si>
  <si>
    <t>2317/SPD-BOK/PKM-ML/VIII/2026</t>
  </si>
  <si>
    <t>2318/SPD-BOK/PKM-ML/VIII/2026</t>
  </si>
  <si>
    <t>2319/SPD-BOK/PKM-ML/VIII/2026</t>
  </si>
  <si>
    <t>2320/SPD-BOK/PKM-ML/VIII/2026</t>
  </si>
  <si>
    <t>2321/SPD-BOK/PKM-ML/VIII/2026</t>
  </si>
  <si>
    <t>2322/SPD-BOK/PKM-ML/VIII/2026</t>
  </si>
  <si>
    <t>2323/SPD-BOK/PKM-ML/VIII/2026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</si>
</sst>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EDEDED"/>
        <bgColor rgb="FFFFF9DB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2" borderId="1" xfId="0" applyFont="1" applyFill="1" applyBorder="1"/>
    <xf numFmtId="0" fontId="2" fillId="0" borderId="1" xfId="0" applyFont="1" applyBorder="1"/>
    <xf numFmtId="164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/>
    <xf numFmtId="164" fontId="4" fillId="2" borderId="1" xfId="0" applyNumberFormat="1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8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00" customWidth="1"/>
  </cols>
  <sheetData>
    <row r="1" spans="2:2" ht="16.8" x14ac:dyDescent="0.3">
      <c r="B1" s="1" t="s">
        <v>0</v>
      </c>
    </row>
    <row r="2" spans="2:2" x14ac:dyDescent="0.3">
      <c r="B2" s="2"/>
    </row>
    <row r="3" spans="2:2" x14ac:dyDescent="0.3">
      <c r="B3" s="3" t="s">
        <v>1</v>
      </c>
    </row>
    <row r="4" spans="2:2" x14ac:dyDescent="0.3">
      <c r="B4" s="2" t="s">
        <v>2</v>
      </c>
    </row>
    <row r="5" spans="2:2" ht="26.4" x14ac:dyDescent="0.3">
      <c r="B5" s="2" t="s">
        <v>3</v>
      </c>
    </row>
    <row r="6" spans="2:2" ht="26.4" x14ac:dyDescent="0.3">
      <c r="B6" s="2" t="s">
        <v>4</v>
      </c>
    </row>
    <row r="7" spans="2:2" x14ac:dyDescent="0.3">
      <c r="B7" s="2" t="s">
        <v>5</v>
      </c>
    </row>
    <row r="8" spans="2:2" ht="26.4" x14ac:dyDescent="0.3">
      <c r="B8" s="2" t="s">
        <v>6</v>
      </c>
    </row>
    <row r="9" spans="2:2" x14ac:dyDescent="0.3">
      <c r="B9" s="2"/>
    </row>
    <row r="10" spans="2:2" x14ac:dyDescent="0.3">
      <c r="B10" s="3" t="s">
        <v>7</v>
      </c>
    </row>
    <row r="11" spans="2:2" x14ac:dyDescent="0.3">
      <c r="B11" s="4" t="s">
        <v>8</v>
      </c>
    </row>
    <row r="12" spans="2:2" x14ac:dyDescent="0.3">
      <c r="B12" s="5" t="s">
        <v>9</v>
      </c>
    </row>
    <row r="13" spans="2:2" x14ac:dyDescent="0.3">
      <c r="B13" s="2"/>
    </row>
    <row r="14" spans="2:2" x14ac:dyDescent="0.3">
      <c r="B14" s="3" t="s">
        <v>10</v>
      </c>
    </row>
    <row r="15" spans="2:2" x14ac:dyDescent="0.3">
      <c r="B15" s="2" t="s">
        <v>11</v>
      </c>
    </row>
    <row r="16" spans="2:2" ht="26.4" x14ac:dyDescent="0.3">
      <c r="B16" s="2" t="s">
        <v>12</v>
      </c>
    </row>
    <row r="17" spans="2:2" ht="26.4" x14ac:dyDescent="0.3">
      <c r="B17" s="2" t="s">
        <v>13</v>
      </c>
    </row>
    <row r="18" spans="2:2" x14ac:dyDescent="0.3">
      <c r="B18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46" customWidth="1"/>
    <col min="3" max="3" width="60" customWidth="1"/>
  </cols>
  <sheetData>
    <row r="1" spans="1:3" x14ac:dyDescent="0.3">
      <c r="A1" s="6" t="s">
        <v>15</v>
      </c>
      <c r="B1" s="6" t="s">
        <v>16</v>
      </c>
      <c r="C1" s="6" t="s">
        <v>17</v>
      </c>
    </row>
    <row r="2" spans="1:3" x14ac:dyDescent="0.3">
      <c r="A2" s="7" t="s">
        <v>18</v>
      </c>
      <c r="B2" s="8" t="s">
        <v>19</v>
      </c>
      <c r="C2" s="9" t="s">
        <v>20</v>
      </c>
    </row>
    <row r="3" spans="1:3" x14ac:dyDescent="0.3">
      <c r="A3" s="7" t="s">
        <v>21</v>
      </c>
      <c r="B3" s="10">
        <v>46235</v>
      </c>
      <c r="C3" s="9" t="s">
        <v>22</v>
      </c>
    </row>
    <row r="4" spans="1:3" x14ac:dyDescent="0.3">
      <c r="A4" s="7" t="s">
        <v>23</v>
      </c>
      <c r="B4" s="8" t="s">
        <v>24</v>
      </c>
      <c r="C4" s="9"/>
    </row>
    <row r="5" spans="1:3" x14ac:dyDescent="0.3">
      <c r="A5" s="7" t="s">
        <v>25</v>
      </c>
      <c r="B5" s="8" t="s">
        <v>26</v>
      </c>
      <c r="C5" s="9" t="s">
        <v>27</v>
      </c>
    </row>
    <row r="6" spans="1:3" x14ac:dyDescent="0.3">
      <c r="A6" s="7" t="s">
        <v>28</v>
      </c>
      <c r="B6" s="8" t="s">
        <v>29</v>
      </c>
      <c r="C6" s="9" t="s">
        <v>30</v>
      </c>
    </row>
    <row r="7" spans="1:3" x14ac:dyDescent="0.3">
      <c r="A7" s="7" t="s">
        <v>31</v>
      </c>
      <c r="B7" s="8" t="s">
        <v>32</v>
      </c>
      <c r="C7" s="9" t="s">
        <v>33</v>
      </c>
    </row>
    <row r="8" spans="1:3" x14ac:dyDescent="0.3">
      <c r="A8" s="7" t="s">
        <v>34</v>
      </c>
      <c r="B8" s="8" t="s">
        <v>35</v>
      </c>
      <c r="C8" s="9" t="s">
        <v>36</v>
      </c>
    </row>
    <row r="9" spans="1:3" x14ac:dyDescent="0.3">
      <c r="A9" s="7" t="s">
        <v>37</v>
      </c>
      <c r="B9" s="8" t="s">
        <v>38</v>
      </c>
      <c r="C9" s="9" t="s">
        <v>39</v>
      </c>
    </row>
    <row r="10" spans="1:3" x14ac:dyDescent="0.3">
      <c r="A10" s="7" t="s">
        <v>40</v>
      </c>
      <c r="B10" s="8" t="s">
        <v>38</v>
      </c>
      <c r="C10" s="9" t="s">
        <v>41</v>
      </c>
    </row>
    <row r="11" spans="1:3" x14ac:dyDescent="0.3">
      <c r="A11" s="7" t="s">
        <v>42</v>
      </c>
      <c r="B11" s="8" t="s">
        <v>43</v>
      </c>
      <c r="C11" s="9" t="s">
        <v>44</v>
      </c>
    </row>
    <row r="12" spans="1:3" x14ac:dyDescent="0.3">
      <c r="A12" s="7" t="s">
        <v>45</v>
      </c>
      <c r="B12" s="8" t="s">
        <v>46</v>
      </c>
      <c r="C12" s="9" t="s">
        <v>47</v>
      </c>
    </row>
    <row r="13" spans="1:3" x14ac:dyDescent="0.3">
      <c r="A13" s="7" t="s">
        <v>48</v>
      </c>
      <c r="B13" s="8" t="s">
        <v>49</v>
      </c>
      <c r="C13" s="9"/>
    </row>
    <row r="14" spans="1:3" x14ac:dyDescent="0.3">
      <c r="A14" s="7" t="s">
        <v>50</v>
      </c>
      <c r="B14" s="8" t="s">
        <v>51</v>
      </c>
      <c r="C14" s="9"/>
    </row>
    <row r="15" spans="1:3">
      <c r="A15" s="7" t="inlineStr">
        <is>
          <t xml:space="preserve">Kode Nomor SPD</t>
        </is>
      </c>
      <c r="B15" s="8" t="inlineStr">
        <is>
          <t xml:space="preserve">SPD-BOK/PKM-ML</t>
        </is>
      </c>
      <c r="C15" s="9" t="inlineStr">
        <is>
          <t xml:space="preserve">Nomor SPD = angka urut/kode ini/bulan romawi/tahun (dari Tanggal dikeluarkan)</t>
        </is>
      </c>
    </row>
    <row r="16" spans="1:3">
      <c r="A16" s="7" t="inlineStr">
        <is>
          <t xml:space="preserve">Dasar Surat Tugas</t>
        </is>
      </c>
      <c r="B16" s="8" t="inlineStr">
        <is>
          <t xml:space="preserve">Berdasarkan Rencana Pelaksanaan Kegiatan Tahun 2026 Bersumber Dana Biaya Operasional Kesehatan (BOK)</t>
        </is>
      </c>
      <c r="C16" s="9" t="inlineStr">
        <is>
          <t xml:space="preserve">Bagian 'Dasar' di Surat Tugas</t>
        </is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3" width="26" customWidth="1"/>
    <col min="4" max="4" width="52" customWidth="1"/>
  </cols>
  <sheetData>
    <row r="1" spans="1:4" x14ac:dyDescent="0.3">
      <c r="A1" s="6" t="s">
        <v>52</v>
      </c>
      <c r="B1" s="6" t="s">
        <v>53</v>
      </c>
      <c r="C1" s="6" t="s">
        <v>54</v>
      </c>
      <c r="D1" s="6" t="s">
        <v>55</v>
      </c>
    </row>
    <row r="2" spans="1:4">
      <c r="A2" s="11" t="inlineStr">
        <is>
          <t xml:space="preserve">MULIATI, SKM., M.Kes</t>
        </is>
      </c>
      <c r="B2" s="11" t="inlineStr">
        <is>
          <t xml:space="preserve">197811302015082001</t>
        </is>
      </c>
      <c r="C2" s="11" t="inlineStr">
        <is>
          <t xml:space="preserve">Penata Tk 1 / III.d</t>
        </is>
      </c>
      <c r="D2" s="11" t="inlineStr">
        <is>
          <t xml:space="preserve">Sanitarian Ahli Muda/Kepala UPTD Puskesmas Moncongloe</t>
        </is>
      </c>
    </row>
    <row r="3" spans="1:4">
      <c r="A3" s="11" t="inlineStr">
        <is>
          <t xml:space="preserve">SULHIYAH MAHMUD, SKM.,M.Kes</t>
        </is>
      </c>
      <c r="B3" s="11" t="inlineStr">
        <is>
          <t xml:space="preserve">197003031994022002</t>
        </is>
      </c>
      <c r="C3" s="11" t="inlineStr">
        <is>
          <t xml:space="preserve">Pembina Utama / IV.c</t>
        </is>
      </c>
      <c r="D3" s="11" t="inlineStr">
        <is>
          <t xml:space="preserve">Sanitarian Ahli Madya</t>
        </is>
      </c>
    </row>
    <row r="4" spans="1:4">
      <c r="A4" s="11" t="inlineStr">
        <is>
          <t xml:space="preserve">dr.SRY WAHYUNI WARASTUTI, S.Ked</t>
        </is>
      </c>
      <c r="B4" s="11" t="inlineStr">
        <is>
          <t xml:space="preserve">197412072006042019</t>
        </is>
      </c>
      <c r="C4" s="11" t="inlineStr">
        <is>
          <t xml:space="preserve">Pembina Utama Muda/ IV.c</t>
        </is>
      </c>
      <c r="D4" s="11" t="inlineStr">
        <is>
          <t xml:space="preserve">Dokter Ahli Madya</t>
        </is>
      </c>
    </row>
    <row r="5" spans="1:4">
      <c r="A5" s="11" t="inlineStr">
        <is>
          <t xml:space="preserve">drg. NIRWANA, S.Kg.MH</t>
        </is>
      </c>
      <c r="B5" s="11" t="inlineStr">
        <is>
          <t xml:space="preserve">196908092007012023</t>
        </is>
      </c>
      <c r="C5" s="11" t="inlineStr">
        <is>
          <t xml:space="preserve">Pembina Tk.1 / IV.b</t>
        </is>
      </c>
      <c r="D5" s="11" t="inlineStr">
        <is>
          <t xml:space="preserve">Dokter Gigi Ahli Madya</t>
        </is>
      </c>
    </row>
    <row r="6" spans="1:4">
      <c r="A6" s="11" t="inlineStr">
        <is>
          <t xml:space="preserve">dr. TITI YULIANTI, S. Ked</t>
        </is>
      </c>
      <c r="B6" s="11" t="inlineStr">
        <is>
          <t xml:space="preserve">198407132011012010</t>
        </is>
      </c>
      <c r="C6" s="11" t="inlineStr">
        <is>
          <t xml:space="preserve">Pembina Tk.1 / IV.b</t>
        </is>
      </c>
      <c r="D6" s="11" t="inlineStr">
        <is>
          <t xml:space="preserve">Dokter Madya</t>
        </is>
      </c>
    </row>
    <row r="7" spans="1:4">
      <c r="A7" s="11" t="inlineStr">
        <is>
          <t xml:space="preserve">DANIAL, SKM</t>
        </is>
      </c>
      <c r="B7" s="11" t="inlineStr">
        <is>
          <t xml:space="preserve">197911082006041014</t>
        </is>
      </c>
      <c r="C7" s="11" t="inlineStr">
        <is>
          <t xml:space="preserve">Pembina Tk.1 / IV.b</t>
        </is>
      </c>
      <c r="D7" s="11" t="inlineStr">
        <is>
          <t xml:space="preserve">Epidemiolog Ahli Madya</t>
        </is>
      </c>
    </row>
    <row r="8" spans="1:4">
      <c r="A8" s="11" t="inlineStr">
        <is>
          <t xml:space="preserve">Bd. JETJE O, SIPAHELUT, S.ST</t>
        </is>
      </c>
      <c r="B8" s="11" t="inlineStr">
        <is>
          <t xml:space="preserve">197109091991032010</t>
        </is>
      </c>
      <c r="C8" s="11" t="inlineStr">
        <is>
          <t xml:space="preserve">Pembina Tk.1 / IV.b</t>
        </is>
      </c>
      <c r="D8" s="11" t="inlineStr">
        <is>
          <t xml:space="preserve">Bidan Ahli Madya</t>
        </is>
      </c>
    </row>
    <row r="9" spans="1:4">
      <c r="A9" s="11" t="inlineStr">
        <is>
          <t xml:space="preserve">SYURIYANI, S.Farm., Apt</t>
        </is>
      </c>
      <c r="B9" s="11" t="inlineStr">
        <is>
          <t xml:space="preserve">197904272003122005</t>
        </is>
      </c>
      <c r="C9" s="11" t="inlineStr">
        <is>
          <t xml:space="preserve">Pembina Tk.1 / IV.b</t>
        </is>
      </c>
      <c r="D9" s="11" t="inlineStr">
        <is>
          <t xml:space="preserve">Apoteker Ahli Madya</t>
        </is>
      </c>
    </row>
    <row r="10" spans="1:4">
      <c r="A10" s="11" t="inlineStr">
        <is>
          <t xml:space="preserve">NASIRAH , S.Kep, Ns</t>
        </is>
      </c>
      <c r="B10" s="11" t="inlineStr">
        <is>
          <t xml:space="preserve">197812182003122010</t>
        </is>
      </c>
      <c r="C10" s="11" t="inlineStr">
        <is>
          <t xml:space="preserve">Pembina Tk.1 / IV.b</t>
        </is>
      </c>
      <c r="D10" s="11" t="inlineStr">
        <is>
          <t xml:space="preserve">Perawat Ahli Madya</t>
        </is>
      </c>
    </row>
    <row r="11" spans="1:4">
      <c r="A11" s="11" t="inlineStr">
        <is>
          <t xml:space="preserve">RIDWAN RAHMAN,S.Kep.,Ns</t>
        </is>
      </c>
      <c r="B11" s="11" t="inlineStr">
        <is>
          <t xml:space="preserve">198207312005021001</t>
        </is>
      </c>
      <c r="C11" s="11" t="inlineStr">
        <is>
          <t xml:space="preserve">Pembina Tk 1 / IV.b</t>
        </is>
      </c>
      <c r="D11" s="11" t="inlineStr">
        <is>
          <t xml:space="preserve">Perawat Ahli Madya</t>
        </is>
      </c>
    </row>
    <row r="12" spans="1:4">
      <c r="A12" s="11" t="inlineStr">
        <is>
          <t xml:space="preserve">SITTI RAHMAWATI, S.Kep.,Ns., M.Kes</t>
        </is>
      </c>
      <c r="B12" s="11" t="inlineStr">
        <is>
          <t xml:space="preserve">197509211998032003</t>
        </is>
      </c>
      <c r="C12" s="11" t="inlineStr">
        <is>
          <t xml:space="preserve">Pembina / IV.a</t>
        </is>
      </c>
      <c r="D12" s="11" t="inlineStr">
        <is>
          <t xml:space="preserve">Perawat Ahli Muda</t>
        </is>
      </c>
    </row>
    <row r="13" spans="1:4">
      <c r="A13" s="11" t="inlineStr">
        <is>
          <t xml:space="preserve">SANGKALA B, S.SIT., MM.KES</t>
        </is>
      </c>
      <c r="B13" s="11" t="inlineStr">
        <is>
          <t xml:space="preserve">196807151991031004</t>
        </is>
      </c>
      <c r="C13" s="11" t="inlineStr">
        <is>
          <t xml:space="preserve">Pembina / IV.a</t>
        </is>
      </c>
      <c r="D13" s="11" t="inlineStr">
        <is>
          <t xml:space="preserve">Terapis Gigi dan Mulut Ahli Madya</t>
        </is>
      </c>
    </row>
    <row r="14" spans="1:4">
      <c r="A14" s="11" t="inlineStr">
        <is>
          <t xml:space="preserve">ROSLIN SALIMA, S.KM, M.Kes</t>
        </is>
      </c>
      <c r="B14" s="11" t="inlineStr">
        <is>
          <t xml:space="preserve">198203292009032006</t>
        </is>
      </c>
      <c r="C14" s="11" t="inlineStr">
        <is>
          <t xml:space="preserve">Pembina / IV.a</t>
        </is>
      </c>
      <c r="D14" s="11" t="inlineStr">
        <is>
          <t xml:space="preserve">Pembimbing Kesehatan Kerja Ahli Madya</t>
        </is>
      </c>
    </row>
    <row r="15" spans="1:4">
      <c r="A15" s="11" t="inlineStr">
        <is>
          <t xml:space="preserve">EFENDI R KASIM, S.KM</t>
        </is>
      </c>
      <c r="B15" s="11" t="inlineStr">
        <is>
          <t xml:space="preserve">197206222000031005</t>
        </is>
      </c>
      <c r="C15" s="11" t="inlineStr">
        <is>
          <t xml:space="preserve">Pembina / IV.a</t>
        </is>
      </c>
      <c r="D15" s="11" t="inlineStr">
        <is>
          <t xml:space="preserve">Epidemiolog Kesehatan Ahli Madya</t>
        </is>
      </c>
    </row>
    <row r="16" spans="1:4">
      <c r="A16" s="11" t="inlineStr">
        <is>
          <t xml:space="preserve">MARTINA, S.ST</t>
        </is>
      </c>
      <c r="B16" s="11" t="inlineStr">
        <is>
          <t xml:space="preserve">198403122008032002</t>
        </is>
      </c>
      <c r="C16" s="11" t="inlineStr">
        <is>
          <t xml:space="preserve">Pembina/ IV.a</t>
        </is>
      </c>
      <c r="D16" s="11" t="inlineStr">
        <is>
          <t xml:space="preserve">Sanitarian Ahli Madya</t>
        </is>
      </c>
    </row>
    <row r="17" spans="1:4">
      <c r="A17" s="11" t="inlineStr">
        <is>
          <t xml:space="preserve">NUR FAHMI, S.Tr.Gz</t>
        </is>
      </c>
      <c r="B17" s="11" t="inlineStr">
        <is>
          <t xml:space="preserve">198105102006042019</t>
        </is>
      </c>
      <c r="C17" s="11" t="inlineStr">
        <is>
          <t xml:space="preserve">Pembina / IV.a</t>
        </is>
      </c>
      <c r="D17" s="11" t="inlineStr">
        <is>
          <t xml:space="preserve">Nutrisionis Ahli Madya</t>
        </is>
      </c>
    </row>
    <row r="18" spans="1:4">
      <c r="A18" s="11" t="inlineStr">
        <is>
          <t xml:space="preserve">SULAEHA,S.Kep.,Ns</t>
        </is>
      </c>
      <c r="B18" s="11" t="inlineStr">
        <is>
          <t xml:space="preserve">198206082005022004</t>
        </is>
      </c>
      <c r="C18" s="11" t="inlineStr">
        <is>
          <t xml:space="preserve">Pembina / IV.a</t>
        </is>
      </c>
      <c r="D18" s="11" t="inlineStr">
        <is>
          <t xml:space="preserve">Perawat Ahli Muda</t>
        </is>
      </c>
    </row>
    <row r="19" spans="1:4">
      <c r="A19" s="11" t="inlineStr">
        <is>
          <t xml:space="preserve">Bd. NURBAYA, S.ST</t>
        </is>
      </c>
      <c r="B19" s="11" t="inlineStr">
        <is>
          <t xml:space="preserve">197404152002122006</t>
        </is>
      </c>
      <c r="C19" s="11" t="inlineStr">
        <is>
          <t xml:space="preserve">Pembina / IV.a</t>
        </is>
      </c>
      <c r="D19" s="11" t="inlineStr">
        <is>
          <t xml:space="preserve">Bidan Ahli Madya</t>
        </is>
      </c>
    </row>
    <row r="20" spans="1:4">
      <c r="A20" s="11" t="inlineStr">
        <is>
          <t xml:space="preserve">RISMAWATY IDRIS, S.Farm</t>
        </is>
      </c>
      <c r="B20" s="11" t="inlineStr">
        <is>
          <t xml:space="preserve">197308221992032002</t>
        </is>
      </c>
      <c r="C20" s="11" t="inlineStr">
        <is>
          <t xml:space="preserve">Penata Tk.1 / III.d</t>
        </is>
      </c>
      <c r="D20" s="11" t="inlineStr">
        <is>
          <t xml:space="preserve">Asisten Apoteker Penyelia</t>
        </is>
      </c>
    </row>
    <row r="21" spans="1:4">
      <c r="A21" s="11" t="inlineStr">
        <is>
          <t xml:space="preserve">DEWI RATNA SARI ARIYANI, A.Md.Kep</t>
        </is>
      </c>
      <c r="B21" s="11" t="inlineStr">
        <is>
          <t xml:space="preserve">198101012006042058</t>
        </is>
      </c>
      <c r="C21" s="11" t="inlineStr">
        <is>
          <t xml:space="preserve">Penata Tk.1 / III.d</t>
        </is>
      </c>
      <c r="D21" s="11" t="inlineStr">
        <is>
          <t xml:space="preserve">Perawat Penyelia</t>
        </is>
      </c>
    </row>
    <row r="22" spans="1:4">
      <c r="A22" s="11" t="inlineStr">
        <is>
          <t xml:space="preserve">KAMELIAH, SKM</t>
        </is>
      </c>
      <c r="B22" s="11" t="inlineStr">
        <is>
          <t xml:space="preserve">198406282010012027</t>
        </is>
      </c>
      <c r="C22" s="11" t="inlineStr">
        <is>
          <t xml:space="preserve">Penata Tk.1 / III.d</t>
        </is>
      </c>
      <c r="D22" s="11" t="inlineStr">
        <is>
          <t xml:space="preserve">Bendahara</t>
        </is>
      </c>
    </row>
    <row r="23" spans="1:4">
      <c r="A23" s="11" t="inlineStr">
        <is>
          <t xml:space="preserve">Bd. RAMLA SARI GEMELLY, S.ST</t>
        </is>
      </c>
      <c r="B23" s="11" t="inlineStr">
        <is>
          <t xml:space="preserve">197907262006042010</t>
        </is>
      </c>
      <c r="C23" s="11" t="inlineStr">
        <is>
          <t xml:space="preserve">Penata Tk.1 / III.d</t>
        </is>
      </c>
      <c r="D23" s="11" t="inlineStr">
        <is>
          <t xml:space="preserve">Bidan Ahli Muda</t>
        </is>
      </c>
    </row>
    <row r="24" spans="1:4">
      <c r="A24" s="11" t="inlineStr">
        <is>
          <t xml:space="preserve">SERLINA ,S.ST</t>
        </is>
      </c>
      <c r="B24" s="11" t="inlineStr">
        <is>
          <t xml:space="preserve">197702202006042007</t>
        </is>
      </c>
      <c r="C24" s="11" t="inlineStr">
        <is>
          <t xml:space="preserve">Penata Tk.1 / III.d</t>
        </is>
      </c>
      <c r="D24" s="11" t="inlineStr">
        <is>
          <t xml:space="preserve">Bidan Ahli Muda</t>
        </is>
      </c>
    </row>
    <row r="25" spans="1:4">
      <c r="A25" s="11" t="inlineStr">
        <is>
          <t xml:space="preserve">drg. SANTI, S.Kg</t>
        </is>
      </c>
      <c r="B25" s="11" t="inlineStr">
        <is>
          <t xml:space="preserve">198201102017042007</t>
        </is>
      </c>
      <c r="C25" s="11" t="inlineStr">
        <is>
          <t xml:space="preserve">Penata Tk.1 / III.d</t>
        </is>
      </c>
      <c r="D25" s="11" t="inlineStr">
        <is>
          <t xml:space="preserve">Dokter Gigi Ahli Muda</t>
        </is>
      </c>
    </row>
    <row r="26" spans="1:4">
      <c r="A26" s="11" t="inlineStr">
        <is>
          <t xml:space="preserve">STARTI TAKWIN, S. Gz</t>
        </is>
      </c>
      <c r="B26" s="11" t="inlineStr">
        <is>
          <t xml:space="preserve">199010302014022004</t>
        </is>
      </c>
      <c r="C26" s="11" t="inlineStr">
        <is>
          <t xml:space="preserve">Penata Tk.1 / III.d</t>
        </is>
      </c>
      <c r="D26" s="11" t="inlineStr">
        <is>
          <t xml:space="preserve">Nutrisionis Ahli Muda</t>
        </is>
      </c>
    </row>
    <row r="27" spans="1:4">
      <c r="A27" s="11" t="inlineStr">
        <is>
          <t xml:space="preserve">ENDRAWATY AMRAH, S.ST</t>
        </is>
      </c>
      <c r="B27" s="11" t="inlineStr">
        <is>
          <t xml:space="preserve">197812222006042027</t>
        </is>
      </c>
      <c r="C27" s="11" t="inlineStr">
        <is>
          <t xml:space="preserve">Penata Tk.1 / IIId</t>
        </is>
      </c>
      <c r="D27" s="11" t="inlineStr">
        <is>
          <t xml:space="preserve">Pelaksana Bidan</t>
        </is>
      </c>
    </row>
    <row r="28" spans="1:4">
      <c r="A28" s="11" t="inlineStr">
        <is>
          <t xml:space="preserve">ANDI NURLAELAH,S.Kep</t>
        </is>
      </c>
      <c r="B28" s="11" t="inlineStr">
        <is>
          <t xml:space="preserve">197412122010012006</t>
        </is>
      </c>
      <c r="C28" s="11" t="inlineStr">
        <is>
          <t xml:space="preserve">Penata Tk 1 / III.d</t>
        </is>
      </c>
      <c r="D28" s="11" t="inlineStr">
        <is>
          <t xml:space="preserve">Perawat Penyelia</t>
        </is>
      </c>
    </row>
    <row r="29" spans="1:4">
      <c r="A29" s="11" t="inlineStr">
        <is>
          <t xml:space="preserve">MASNUDDIN ,SKM</t>
        </is>
      </c>
      <c r="B29" s="11" t="inlineStr">
        <is>
          <t xml:space="preserve">198402032009021004</t>
        </is>
      </c>
      <c r="C29" s="11" t="inlineStr">
        <is>
          <t xml:space="preserve">Penata Tk 1/ III.d</t>
        </is>
      </c>
      <c r="D29" s="11" t="inlineStr">
        <is>
          <t xml:space="preserve">Pengadministrasi Umum</t>
        </is>
      </c>
    </row>
    <row r="30" spans="1:4">
      <c r="A30" s="11" t="inlineStr">
        <is>
          <t xml:space="preserve">RUBIANA, A.Md.Keb</t>
        </is>
      </c>
      <c r="B30" s="11" t="inlineStr">
        <is>
          <t xml:space="preserve">198301012011012009</t>
        </is>
      </c>
      <c r="C30" s="11" t="inlineStr">
        <is>
          <t xml:space="preserve">Penata / III.c</t>
        </is>
      </c>
      <c r="D30" s="11" t="inlineStr">
        <is>
          <t xml:space="preserve">Bidan Penyelia</t>
        </is>
      </c>
    </row>
    <row r="31" spans="1:4">
      <c r="A31" s="11" t="inlineStr">
        <is>
          <t xml:space="preserve">HASBIA KOIDA, A.Md.Keb</t>
        </is>
      </c>
      <c r="B31" s="11" t="inlineStr">
        <is>
          <t xml:space="preserve">197510042006042006</t>
        </is>
      </c>
      <c r="C31" s="11" t="inlineStr">
        <is>
          <t xml:space="preserve">Penata / III.c</t>
        </is>
      </c>
      <c r="D31" s="11" t="inlineStr">
        <is>
          <t xml:space="preserve">Bidan Penyelia</t>
        </is>
      </c>
    </row>
    <row r="32" spans="1:4">
      <c r="A32" s="11" t="inlineStr">
        <is>
          <t xml:space="preserve">SITTI SYARIFAH MASNAENI , S.Farm., Apt</t>
        </is>
      </c>
      <c r="B32" s="11" t="inlineStr">
        <is>
          <t xml:space="preserve">199406062019032007</t>
        </is>
      </c>
      <c r="C32" s="11" t="inlineStr">
        <is>
          <t xml:space="preserve">Penata / III.c</t>
        </is>
      </c>
      <c r="D32" s="11" t="inlineStr">
        <is>
          <t xml:space="preserve">Apoteker Ahli Muda</t>
        </is>
      </c>
    </row>
    <row r="33" spans="1:4">
      <c r="A33" s="11" t="inlineStr">
        <is>
          <t xml:space="preserve">HABUBA, SKM</t>
        </is>
      </c>
      <c r="B33" s="11" t="inlineStr">
        <is>
          <t xml:space="preserve">198010312009032009</t>
        </is>
      </c>
      <c r="C33" s="11" t="inlineStr">
        <is>
          <t xml:space="preserve">Penata Muda Tk.1 / III.b</t>
        </is>
      </c>
      <c r="D33" s="11" t="inlineStr">
        <is>
          <t xml:space="preserve">Epidemiolog Kesehatan Ahli Pertama</t>
        </is>
      </c>
    </row>
    <row r="34" spans="1:4">
      <c r="A34" s="11" t="inlineStr">
        <is>
          <t xml:space="preserve">RAHMIYATI R, S.Tr.Gz</t>
        </is>
      </c>
      <c r="B34" s="11" t="inlineStr">
        <is>
          <t xml:space="preserve">199510172019032006</t>
        </is>
      </c>
      <c r="C34" s="11" t="inlineStr">
        <is>
          <t xml:space="preserve">Penata Muda Tk.1 / III.b</t>
        </is>
      </c>
      <c r="D34" s="11" t="inlineStr">
        <is>
          <t xml:space="preserve">Nutrisionis Ahli Pertama</t>
        </is>
      </c>
    </row>
    <row r="35" spans="1:4">
      <c r="A35" s="11" t="inlineStr">
        <is>
          <t xml:space="preserve">FARAHDIBA ANISA, S.Kep., Ns</t>
        </is>
      </c>
      <c r="B35" s="11" t="inlineStr">
        <is>
          <t xml:space="preserve">199306192019032001</t>
        </is>
      </c>
      <c r="C35" s="11" t="inlineStr">
        <is>
          <t xml:space="preserve">Penata Muda Tk.1 / III.b</t>
        </is>
      </c>
      <c r="D35" s="11" t="inlineStr">
        <is>
          <t xml:space="preserve">Perawat Ahli Pertama</t>
        </is>
      </c>
    </row>
    <row r="36" spans="1:4">
      <c r="A36" s="11" t="inlineStr">
        <is>
          <t xml:space="preserve">ITA YUNITA, S.Kep., Ns</t>
        </is>
      </c>
      <c r="B36" s="11" t="inlineStr">
        <is>
          <t xml:space="preserve">199210012022042002</t>
        </is>
      </c>
      <c r="C36" s="11" t="inlineStr">
        <is>
          <t xml:space="preserve">Penata Muda Tk.1 / III.b</t>
        </is>
      </c>
      <c r="D36" s="11" t="inlineStr">
        <is>
          <t xml:space="preserve">Perawat Ahli Pertama</t>
        </is>
      </c>
    </row>
    <row r="37" spans="1:4">
      <c r="A37" s="11" t="inlineStr">
        <is>
          <t xml:space="preserve">NURIZKA RAYHANA NASRUDDIN, SKM</t>
        </is>
      </c>
      <c r="B37" s="11" t="inlineStr">
        <is>
          <t xml:space="preserve">199502262020122026</t>
        </is>
      </c>
      <c r="C37" s="11" t="inlineStr">
        <is>
          <t xml:space="preserve">Penata Muda Tk.1 / III.b</t>
        </is>
      </c>
      <c r="D37" s="11" t="inlineStr">
        <is>
          <t xml:space="preserve">Epidemiolog Kesehatan Ahli Pertama</t>
        </is>
      </c>
    </row>
    <row r="38" spans="1:4">
      <c r="A38" s="11" t="inlineStr">
        <is>
          <t xml:space="preserve">MUSYARRAFAH HAMDANI, SKM,M.KM</t>
        </is>
      </c>
      <c r="B38" s="11" t="inlineStr">
        <is>
          <t xml:space="preserve">199205142022042001</t>
        </is>
      </c>
      <c r="C38" s="11" t="inlineStr">
        <is>
          <t xml:space="preserve">Penata Muda Tk 1 / III.b</t>
        </is>
      </c>
      <c r="D38" s="11" t="inlineStr">
        <is>
          <t xml:space="preserve">Penyuluh Kesehatan Masyarakat Ahli Pertama</t>
        </is>
      </c>
    </row>
    <row r="39" spans="1:4">
      <c r="A39" s="11" t="inlineStr">
        <is>
          <t xml:space="preserve">MASDAL, S.Kep., Ns</t>
        </is>
      </c>
      <c r="B39" s="11" t="inlineStr">
        <is>
          <t xml:space="preserve">199302092022041004</t>
        </is>
      </c>
      <c r="C39" s="11" t="inlineStr">
        <is>
          <t xml:space="preserve">Penata Muda Tk 1 / III.b</t>
        </is>
      </c>
      <c r="D39" s="11" t="inlineStr">
        <is>
          <t xml:space="preserve">Perawat Terampil</t>
        </is>
      </c>
    </row>
    <row r="40" spans="1:4">
      <c r="A40" s="11" t="inlineStr">
        <is>
          <t xml:space="preserve">NIRNANINGSIH HASAN, A.Md.Kep</t>
        </is>
      </c>
      <c r="B40" s="11" t="inlineStr">
        <is>
          <t xml:space="preserve">197404302008032001</t>
        </is>
      </c>
      <c r="C40" s="11" t="inlineStr">
        <is>
          <t xml:space="preserve">Penata Muda / III.a</t>
        </is>
      </c>
      <c r="D40" s="11" t="inlineStr">
        <is>
          <t xml:space="preserve">Perawat Pelaksana Lanjutan/Mahir</t>
        </is>
      </c>
    </row>
    <row r="41" spans="1:4">
      <c r="A41" s="11" t="inlineStr">
        <is>
          <t xml:space="preserve">SATRIANI M, A.Md. Keb</t>
        </is>
      </c>
      <c r="B41" s="11" t="inlineStr">
        <is>
          <t xml:space="preserve">198607062017042015</t>
        </is>
      </c>
      <c r="C41" s="11" t="inlineStr">
        <is>
          <t xml:space="preserve">Penata Muda / III.a</t>
        </is>
      </c>
      <c r="D41" s="11" t="inlineStr">
        <is>
          <t xml:space="preserve">Bidan Mahir</t>
        </is>
      </c>
    </row>
    <row r="42" spans="1:4">
      <c r="A42" s="11" t="inlineStr">
        <is>
          <t xml:space="preserve">NURFADILLAH ZAEDA, A.Md. Keb</t>
        </is>
      </c>
      <c r="B42" s="11" t="inlineStr">
        <is>
          <t xml:space="preserve">199003132017042010</t>
        </is>
      </c>
      <c r="C42" s="11" t="inlineStr">
        <is>
          <t xml:space="preserve">Penata Muda / III.a</t>
        </is>
      </c>
      <c r="D42" s="11" t="inlineStr">
        <is>
          <t xml:space="preserve">Bidan Mahir</t>
        </is>
      </c>
    </row>
    <row r="43" spans="1:4">
      <c r="A43" s="11" t="inlineStr">
        <is>
          <t xml:space="preserve">MAHARANI, S.Kep. Ns</t>
        </is>
      </c>
      <c r="B43" s="11" t="inlineStr">
        <is>
          <t xml:space="preserve">198808142020122010</t>
        </is>
      </c>
      <c r="C43" s="11" t="inlineStr">
        <is>
          <t xml:space="preserve">Penata Muda / III.a</t>
        </is>
      </c>
      <c r="D43" s="11" t="inlineStr">
        <is>
          <t xml:space="preserve">Perawat Terampil</t>
        </is>
      </c>
    </row>
    <row r="44" spans="1:4">
      <c r="A44" s="11" t="inlineStr">
        <is>
          <t xml:space="preserve">RISNAWATI, S.ST</t>
        </is>
      </c>
      <c r="B44" s="11" t="inlineStr">
        <is>
          <t xml:space="preserve">198912262022042001</t>
        </is>
      </c>
      <c r="C44" s="11" t="inlineStr">
        <is>
          <t xml:space="preserve">Penata Muda / III.a</t>
        </is>
      </c>
      <c r="D44" s="11" t="inlineStr">
        <is>
          <t xml:space="preserve">Bidan Ahli Pertama</t>
        </is>
      </c>
    </row>
    <row r="45" spans="1:4">
      <c r="A45" s="11" t="inlineStr">
        <is>
          <t xml:space="preserve">PUTRI RESKY NOVIANTI, S.KM</t>
        </is>
      </c>
      <c r="B45" s="11" t="inlineStr">
        <is>
          <t xml:space="preserve">199411042022042001</t>
        </is>
      </c>
      <c r="C45" s="11" t="inlineStr">
        <is>
          <t xml:space="preserve">Penata Muda / III.a</t>
        </is>
      </c>
      <c r="D45" s="11" t="inlineStr">
        <is>
          <t xml:space="preserve">Sanitarian Ahli Pertama</t>
        </is>
      </c>
    </row>
    <row r="46" spans="1:4">
      <c r="A46" s="11" t="inlineStr">
        <is>
          <t xml:space="preserve">HANUGERAH WIRYA JAYA HADING, S.KM</t>
        </is>
      </c>
      <c r="B46" s="11" t="inlineStr">
        <is>
          <t xml:space="preserve">199505272022041002</t>
        </is>
      </c>
      <c r="C46" s="11" t="inlineStr">
        <is>
          <t xml:space="preserve">Penata Muda / III.a</t>
        </is>
      </c>
      <c r="D46" s="11" t="inlineStr">
        <is>
          <t xml:space="preserve">Pembimbing Kesehatan Ahli Pertama</t>
        </is>
      </c>
    </row>
    <row r="47" spans="1:4">
      <c r="A47" s="11" t="inlineStr">
        <is>
          <t xml:space="preserve">SAENAL, A.Md.Kep</t>
        </is>
      </c>
      <c r="B47" s="11" t="inlineStr">
        <is>
          <t xml:space="preserve">198403082015031001</t>
        </is>
      </c>
      <c r="C47" s="11" t="inlineStr">
        <is>
          <t xml:space="preserve">Penata Muda / III.a</t>
        </is>
      </c>
      <c r="D47" s="11" t="inlineStr">
        <is>
          <t xml:space="preserve">Perawat Pelaksana</t>
        </is>
      </c>
    </row>
    <row r="48" spans="1:4">
      <c r="A48" s="11" t="inlineStr">
        <is>
          <t xml:space="preserve">SULISTIAWATY, AR</t>
        </is>
      </c>
      <c r="B48" s="11" t="inlineStr">
        <is>
          <t xml:space="preserve">198412132015082001</t>
        </is>
      </c>
      <c r="C48" s="11" t="inlineStr">
        <is>
          <t xml:space="preserve">Penata Muda / III.a</t>
        </is>
      </c>
      <c r="D48" s="11" t="inlineStr">
        <is>
          <t xml:space="preserve">Pengadministrasi Rekam Medis dan Informasi</t>
        </is>
      </c>
    </row>
    <row r="49" spans="1:4">
      <c r="A49" s="11" t="inlineStr">
        <is>
          <t xml:space="preserve">MUH.NUR</t>
        </is>
      </c>
      <c r="B49" s="11" t="inlineStr">
        <is>
          <t xml:space="preserve">198412282010011026</t>
        </is>
      </c>
      <c r="C49" s="11" t="inlineStr">
        <is>
          <t xml:space="preserve">Pengatur Tk.1 / II.d</t>
        </is>
      </c>
      <c r="D49" s="11" t="inlineStr">
        <is>
          <t xml:space="preserve">Pengelola Sarana dan Prasarana Kantor</t>
        </is>
      </c>
    </row>
    <row r="50" spans="1:4">
      <c r="A50" s="11" t="inlineStr">
        <is>
          <t xml:space="preserve">SITTI NURHAYATI, A.Md.RMIK</t>
        </is>
      </c>
      <c r="B50" s="11" t="inlineStr">
        <is>
          <t xml:space="preserve">199405042019032004</t>
        </is>
      </c>
      <c r="C50" s="11" t="inlineStr">
        <is>
          <t xml:space="preserve">Pengatur Tk.1 / II.d</t>
        </is>
      </c>
      <c r="D50" s="11" t="inlineStr">
        <is>
          <t xml:space="preserve">Perekam Medik Terampil</t>
        </is>
      </c>
    </row>
    <row r="51" spans="1:4">
      <c r="A51" s="11" t="inlineStr">
        <is>
          <t xml:space="preserve">ISMAIL, A.Md. AK</t>
        </is>
      </c>
      <c r="B51" s="11" t="inlineStr">
        <is>
          <t xml:space="preserve">199603312019031001</t>
        </is>
      </c>
      <c r="C51" s="11" t="inlineStr">
        <is>
          <t xml:space="preserve">Pengatur Tk.1 / II.d</t>
        </is>
      </c>
      <c r="D51" s="11" t="inlineStr">
        <is>
          <t xml:space="preserve">Pranata Laboraturium Kesehatan Terampil</t>
        </is>
      </c>
    </row>
    <row r="52" spans="1:4">
      <c r="A52" s="11" t="inlineStr">
        <is>
          <t xml:space="preserve">NURHAYATI, A.Md.Keb</t>
        </is>
      </c>
      <c r="B52" s="11" t="inlineStr">
        <is>
          <t xml:space="preserve">197411102015082001</t>
        </is>
      </c>
      <c r="C52" s="11" t="inlineStr">
        <is>
          <t xml:space="preserve">Pengatur Tk.1 / II.d</t>
        </is>
      </c>
      <c r="D52" s="11" t="inlineStr">
        <is>
          <t xml:space="preserve">Bidan Terampil</t>
        </is>
      </c>
    </row>
    <row r="53" spans="1:4">
      <c r="A53" s="11" t="inlineStr">
        <is>
          <t xml:space="preserve">ROSNAH, AMK</t>
        </is>
      </c>
      <c r="B53" s="11" t="inlineStr">
        <is>
          <t xml:space="preserve">198801152020122007</t>
        </is>
      </c>
      <c r="C53" s="11" t="inlineStr">
        <is>
          <t xml:space="preserve">Pengatur Tk.1 / II.d</t>
        </is>
      </c>
      <c r="D53" s="11" t="inlineStr">
        <is>
          <t xml:space="preserve">Perawat Terampil</t>
        </is>
      </c>
    </row>
    <row r="54" spans="1:4">
      <c r="A54" s="11" t="inlineStr">
        <is>
          <t xml:space="preserve">EVY SRI NOVYANTI. P, A.Md.Kep</t>
        </is>
      </c>
      <c r="B54" s="11" t="inlineStr">
        <is>
          <t xml:space="preserve">199511262020122022</t>
        </is>
      </c>
      <c r="C54" s="11" t="inlineStr">
        <is>
          <t xml:space="preserve">Pengatur Tk.1 / II.d</t>
        </is>
      </c>
      <c r="D54" s="11" t="inlineStr">
        <is>
          <t xml:space="preserve">Perawat Terampil</t>
        </is>
      </c>
    </row>
    <row r="55" spans="1:4">
      <c r="A55" s="11" t="inlineStr">
        <is>
          <t xml:space="preserve">SUWARNI, A.Md.KG</t>
        </is>
      </c>
      <c r="B55" s="11" t="inlineStr">
        <is>
          <t xml:space="preserve">198503132015082002</t>
        </is>
      </c>
      <c r="C55" s="11" t="inlineStr">
        <is>
          <t xml:space="preserve">Pengatur Tk 1/ II.d</t>
        </is>
      </c>
      <c r="D55" s="11" t="inlineStr">
        <is>
          <t xml:space="preserve">Terapis Gigi dan Mulut Terampil</t>
        </is>
      </c>
    </row>
    <row r="56" spans="1:4">
      <c r="A56" s="11" t="inlineStr">
        <is>
          <t xml:space="preserve">GHIFARI RAZAK SAFAR NAS, A.Md. RMIK</t>
        </is>
      </c>
      <c r="B56" s="11" t="inlineStr">
        <is>
          <t xml:space="preserve">199606232019031001</t>
        </is>
      </c>
      <c r="C56" s="11" t="inlineStr">
        <is>
          <t xml:space="preserve">Pengatur Tk 1/ II.d</t>
        </is>
      </c>
      <c r="D56" s="11" t="inlineStr">
        <is>
          <t xml:space="preserve">Perekam Medik Terampil</t>
        </is>
      </c>
    </row>
    <row r="57" spans="1:4">
      <c r="A57" s="11" t="inlineStr">
        <is>
          <t xml:space="preserve">SHAFIRAH, A.Md.RMIK</t>
        </is>
      </c>
      <c r="B57" s="11" t="inlineStr">
        <is>
          <t xml:space="preserve">199803192022042004</t>
        </is>
      </c>
      <c r="C57" s="11" t="inlineStr">
        <is>
          <t xml:space="preserve">Pengatur / II.c</t>
        </is>
      </c>
      <c r="D57" s="11" t="inlineStr">
        <is>
          <t xml:space="preserve">Perekam Medis Terampil</t>
        </is>
      </c>
    </row>
    <row r="58" spans="1:4">
      <c r="A58" s="11" t="inlineStr">
        <is>
          <t xml:space="preserve">dr. RENY AMALIA H, S.Ked</t>
        </is>
      </c>
      <c r="B58" s="11" t="inlineStr">
        <is>
          <t xml:space="preserve">199402092024212016</t>
        </is>
      </c>
      <c r="C58" s="11" t="inlineStr">
        <is>
          <t xml:space="preserve">10</t>
        </is>
      </c>
      <c r="D58" s="11" t="inlineStr">
        <is>
          <t xml:space="preserve">Dokter Ahli Pertama</t>
        </is>
      </c>
    </row>
    <row r="59" spans="1:4">
      <c r="A59" s="11" t="inlineStr">
        <is>
          <t xml:space="preserve">drg. SRI MAGFIRAH KUSADY, S.KG</t>
        </is>
      </c>
      <c r="B59" s="11" t="inlineStr">
        <is>
          <t xml:space="preserve">199612202024212020</t>
        </is>
      </c>
      <c r="C59" s="11" t="inlineStr">
        <is>
          <t xml:space="preserve">10</t>
        </is>
      </c>
      <c r="D59" s="11" t="inlineStr">
        <is>
          <t xml:space="preserve">Dokter Gigi Ahli Pertama</t>
        </is>
      </c>
    </row>
    <row r="60" spans="1:4">
      <c r="A60" s="11" t="inlineStr">
        <is>
          <t xml:space="preserve">apt. A. DYAH INDIRA LUKITA, S.Si</t>
        </is>
      </c>
      <c r="B60" s="11" t="inlineStr">
        <is>
          <t xml:space="preserve">199705202024212009</t>
        </is>
      </c>
      <c r="C60" s="11" t="inlineStr">
        <is>
          <t xml:space="preserve">10</t>
        </is>
      </c>
      <c r="D60" s="11" t="inlineStr">
        <is>
          <t xml:space="preserve">Apoteker Ahli Pertama</t>
        </is>
      </c>
    </row>
    <row r="61" spans="1:4">
      <c r="A61" s="11" t="inlineStr">
        <is>
          <t xml:space="preserve">A. TENRI RAMDANI AGUNG, S.KM</t>
        </is>
      </c>
      <c r="B61" s="11" t="inlineStr">
        <is>
          <t xml:space="preserve">199601282024212001</t>
        </is>
      </c>
      <c r="C61" s="11" t="inlineStr">
        <is>
          <t xml:space="preserve">9</t>
        </is>
      </c>
      <c r="D61" s="11" t="inlineStr">
        <is>
          <t xml:space="preserve">Tenaga Promosi Kesehatan dan Ilmu Perilaku Ahli Pertama</t>
        </is>
      </c>
    </row>
    <row r="62" spans="1:4">
      <c r="A62" s="11" t="inlineStr">
        <is>
          <t xml:space="preserve">NURAENI, A.Md.Kep</t>
        </is>
      </c>
      <c r="B62" s="11" t="inlineStr">
        <is>
          <t xml:space="preserve">199208232024212010</t>
        </is>
      </c>
      <c r="C62" s="11" t="inlineStr">
        <is>
          <t xml:space="preserve">7</t>
        </is>
      </c>
      <c r="D62" s="11" t="inlineStr">
        <is>
          <t xml:space="preserve">Perawat Terampil</t>
        </is>
      </c>
    </row>
    <row r="63" spans="1:4">
      <c r="A63" s="11" t="inlineStr">
        <is>
          <t xml:space="preserve">NUR INRIANI IRWAN, A.Md.Kep</t>
        </is>
      </c>
      <c r="B63" s="11" t="inlineStr">
        <is>
          <t xml:space="preserve">199703162024212011</t>
        </is>
      </c>
      <c r="C63" s="11" t="inlineStr">
        <is>
          <t xml:space="preserve">7</t>
        </is>
      </c>
      <c r="D63" s="11" t="inlineStr">
        <is>
          <t xml:space="preserve">Perawat Terampil</t>
        </is>
      </c>
    </row>
    <row r="64" spans="1:4">
      <c r="A64" s="11" t="inlineStr">
        <is>
          <t xml:space="preserve">KASMA IDRIS, A.Md.Kep</t>
        </is>
      </c>
      <c r="B64" s="11" t="inlineStr">
        <is>
          <t xml:space="preserve">199007122024212013</t>
        </is>
      </c>
      <c r="C64" s="11" t="inlineStr">
        <is>
          <t xml:space="preserve">7</t>
        </is>
      </c>
      <c r="D64" s="11" t="inlineStr">
        <is>
          <t xml:space="preserve">Perawat Terampil</t>
        </is>
      </c>
    </row>
    <row r="65" spans="1:4">
      <c r="A65" s="11" t="inlineStr">
        <is>
          <t xml:space="preserve">AYULISTIANA, A.Md.Keb</t>
        </is>
      </c>
      <c r="B65" s="11" t="inlineStr">
        <is>
          <t xml:space="preserve">199012012024212020</t>
        </is>
      </c>
      <c r="C65" s="11" t="inlineStr">
        <is>
          <t xml:space="preserve">7</t>
        </is>
      </c>
      <c r="D65" s="11" t="inlineStr">
        <is>
          <t xml:space="preserve">Bidan Terampil</t>
        </is>
      </c>
    </row>
    <row r="66" spans="1:4">
      <c r="A66" s="11" t="inlineStr">
        <is>
          <t xml:space="preserve">SITTI HAWANIA, Amd.Keb</t>
        </is>
      </c>
      <c r="B66" s="11" t="inlineStr">
        <is>
          <t xml:space="preserve">199601282024212010</t>
        </is>
      </c>
      <c r="C66" s="11" t="inlineStr">
        <is>
          <t xml:space="preserve">7</t>
        </is>
      </c>
      <c r="D66" s="11" t="inlineStr">
        <is>
          <t xml:space="preserve">Bidan Terampil</t>
        </is>
      </c>
    </row>
    <row r="67" spans="1:4">
      <c r="A67" s="11" t="inlineStr">
        <is>
          <t xml:space="preserve">JUWITA SINTASARI, A.Md.Keb</t>
        </is>
      </c>
      <c r="B67" s="11" t="inlineStr">
        <is>
          <t xml:space="preserve">199207032024212013</t>
        </is>
      </c>
      <c r="C67" s="11" t="inlineStr">
        <is>
          <t xml:space="preserve">7</t>
        </is>
      </c>
      <c r="D67" s="11" t="inlineStr">
        <is>
          <t xml:space="preserve">Bidan Terampil</t>
        </is>
      </c>
    </row>
    <row r="68" spans="1:4">
      <c r="A68" s="11" t="inlineStr">
        <is>
          <t xml:space="preserve">FITRIYANI PATTA, A.Md.Keb</t>
        </is>
      </c>
      <c r="B68" s="11" t="inlineStr">
        <is>
          <t xml:space="preserve">199903022024212008</t>
        </is>
      </c>
      <c r="C68" s="11" t="inlineStr">
        <is>
          <t xml:space="preserve">7</t>
        </is>
      </c>
      <c r="D68" s="11" t="inlineStr">
        <is>
          <t xml:space="preserve">Bidan Terampil</t>
        </is>
      </c>
    </row>
    <row r="69" spans="1:4">
      <c r="A69" s="11" t="inlineStr">
        <is>
          <t xml:space="preserve">NILAWATI, A.Md.Farm</t>
        </is>
      </c>
      <c r="B69" s="11" t="inlineStr">
        <is>
          <t xml:space="preserve">199103102024212010</t>
        </is>
      </c>
      <c r="C69" s="11" t="inlineStr">
        <is>
          <t xml:space="preserve">7</t>
        </is>
      </c>
      <c r="D69" s="11" t="inlineStr">
        <is>
          <t xml:space="preserve">Asisten Apoteker Terampil</t>
        </is>
      </c>
    </row>
    <row r="70" spans="1:4">
      <c r="A70" s="11" t="inlineStr">
        <is>
          <t xml:space="preserve">SUFRIANI ALIMUDDIN SALIM, AMAK</t>
        </is>
      </c>
      <c r="B70" s="11" t="inlineStr">
        <is>
          <t xml:space="preserve">198610142024212007</t>
        </is>
      </c>
      <c r="C70" s="11" t="inlineStr">
        <is>
          <t xml:space="preserve">7</t>
        </is>
      </c>
      <c r="D70" s="11" t="inlineStr">
        <is>
          <t xml:space="preserve">Pranata Laboratorium Kesehatan Terampil</t>
        </is>
      </c>
    </row>
    <row r="71" spans="1:4">
      <c r="A71" s="11" t="inlineStr">
        <is>
          <t xml:space="preserve">Mansyur</t>
        </is>
      </c>
      <c r="B71" s="11" t="inlineStr">
        <is>
          <t xml:space="preserve">197811102025211122</t>
        </is>
      </c>
      <c r="C71" s="11" t="inlineStr">
        <is>
          <t xml:space="preserve">-</t>
        </is>
      </c>
      <c r="D71" s="11" t="inlineStr">
        <is>
          <t xml:space="preserve">Operator Layanan Operasional/ Sopir Ambulance</t>
        </is>
      </c>
    </row>
    <row r="72" spans="1:4">
      <c r="A72" s="11" t="inlineStr">
        <is>
          <t xml:space="preserve">Kasmawati</t>
        </is>
      </c>
      <c r="B72" s="11" t="inlineStr">
        <is>
          <t xml:space="preserve">198205052025212138</t>
        </is>
      </c>
      <c r="C72" s="11" t="inlineStr">
        <is>
          <t xml:space="preserve">-</t>
        </is>
      </c>
      <c r="D72" s="11" t="inlineStr">
        <is>
          <t xml:space="preserve">Pengelola Umum Operasional</t>
        </is>
      </c>
    </row>
    <row r="73" spans="1:4">
      <c r="A73" s="11" t="inlineStr">
        <is>
          <t xml:space="preserve">Nurul Andriani, A.Md.Keb</t>
        </is>
      </c>
      <c r="B73" s="11" t="inlineStr">
        <is>
          <t xml:space="preserve">199106232025212137</t>
        </is>
      </c>
      <c r="C73" s="11" t="inlineStr">
        <is>
          <t xml:space="preserve">-</t>
        </is>
      </c>
      <c r="D73" s="11" t="inlineStr">
        <is>
          <t xml:space="preserve">Bidan Terampil</t>
        </is>
      </c>
    </row>
    <row r="74" spans="1:4">
      <c r="A74" s="11" t="inlineStr">
        <is>
          <t xml:space="preserve">Sariati, A.Md.Keb</t>
        </is>
      </c>
      <c r="B74" s="11" t="inlineStr">
        <is>
          <t xml:space="preserve">198001112025212032</t>
        </is>
      </c>
      <c r="C74" s="11" t="inlineStr">
        <is>
          <t xml:space="preserve">-</t>
        </is>
      </c>
      <c r="D74" s="11" t="inlineStr">
        <is>
          <t xml:space="preserve">Bidan Terampil</t>
        </is>
      </c>
    </row>
    <row r="75" spans="1:4">
      <c r="A75" s="11" t="inlineStr">
        <is>
          <t xml:space="preserve">Sitti Fathima S, A.Md.Kep</t>
        </is>
      </c>
      <c r="B75" s="11" t="inlineStr">
        <is>
          <t xml:space="preserve">198902152025212118</t>
        </is>
      </c>
      <c r="C75" s="11" t="inlineStr">
        <is>
          <t xml:space="preserve">-</t>
        </is>
      </c>
      <c r="D75" s="11" t="inlineStr">
        <is>
          <t xml:space="preserve">Perawat Terampil</t>
        </is>
      </c>
    </row>
    <row r="76" spans="1:4">
      <c r="A76" s="11" t="inlineStr">
        <is>
          <t xml:space="preserve">Putri Reskia, S.Kep, Ns</t>
        </is>
      </c>
      <c r="B76" s="11" t="inlineStr">
        <is>
          <t xml:space="preserve">198611172025212094</t>
        </is>
      </c>
      <c r="C76" s="11" t="inlineStr">
        <is>
          <t xml:space="preserve">-</t>
        </is>
      </c>
      <c r="D76" s="11" t="inlineStr">
        <is>
          <t xml:space="preserve">perawat ahli pertama</t>
        </is>
      </c>
    </row>
    <row r="77" spans="1:4">
      <c r="A77" s="11" t="inlineStr">
        <is>
          <t xml:space="preserve">Angriani, A.Md.Keb</t>
        </is>
      </c>
      <c r="B77" s="11" t="inlineStr">
        <is>
          <t xml:space="preserve">199306262025212153</t>
        </is>
      </c>
      <c r="C77" s="11" t="inlineStr">
        <is>
          <t xml:space="preserve">-</t>
        </is>
      </c>
      <c r="D77" s="11" t="inlineStr">
        <is>
          <t xml:space="preserve">Bidan Terampil</t>
        </is>
      </c>
    </row>
    <row r="78" spans="1:4">
      <c r="A78" s="11" t="inlineStr">
        <is>
          <t xml:space="preserve">Nurmaeni, A.Md.Keb</t>
        </is>
      </c>
      <c r="B78" s="11" t="inlineStr">
        <is>
          <t xml:space="preserve">199102262025212110</t>
        </is>
      </c>
      <c r="C78" s="11" t="inlineStr">
        <is>
          <t xml:space="preserve">-</t>
        </is>
      </c>
      <c r="D78" s="11" t="inlineStr">
        <is>
          <t xml:space="preserve">Bidan Terampil</t>
        </is>
      </c>
    </row>
    <row r="79" spans="1:4">
      <c r="A79" s="11" t="inlineStr">
        <is>
          <t xml:space="preserve">M.Untung Sanjaya, A.Md.Kep</t>
        </is>
      </c>
      <c r="B79" s="11" t="inlineStr">
        <is>
          <t xml:space="preserve">199105032025211125</t>
        </is>
      </c>
      <c r="C79" s="11" t="inlineStr">
        <is>
          <t xml:space="preserve">-</t>
        </is>
      </c>
      <c r="D79" s="11" t="inlineStr">
        <is>
          <t xml:space="preserve">Perawat Terampil</t>
        </is>
      </c>
    </row>
    <row r="80" spans="1:4">
      <c r="A80" s="11" t="inlineStr">
        <is>
          <t xml:space="preserve">Usman Budianto, S.Kep,. Ns</t>
        </is>
      </c>
      <c r="B80" s="11" t="inlineStr">
        <is>
          <t xml:space="preserve">199305142025211128</t>
        </is>
      </c>
      <c r="C80" s="11" t="inlineStr">
        <is>
          <t xml:space="preserve">-</t>
        </is>
      </c>
      <c r="D80" s="11" t="inlineStr">
        <is>
          <t xml:space="preserve">perawat ahli pertama</t>
        </is>
      </c>
    </row>
    <row r="81" spans="1:4">
      <c r="A81" s="11" t="inlineStr">
        <is>
          <t xml:space="preserve">Amirawana,A.Md.Keb</t>
        </is>
      </c>
      <c r="B81" s="11" t="inlineStr">
        <is>
          <t xml:space="preserve">199204282025212174</t>
        </is>
      </c>
      <c r="C81" s="11" t="inlineStr">
        <is>
          <t xml:space="preserve">-</t>
        </is>
      </c>
      <c r="D81" s="11" t="inlineStr">
        <is>
          <t xml:space="preserve">Bidan Terampil</t>
        </is>
      </c>
    </row>
    <row r="82" spans="1:4">
      <c r="A82" s="11" t="inlineStr">
        <is>
          <t xml:space="preserve">Juliana, A.Md.Keb</t>
        </is>
      </c>
      <c r="B82" s="11" t="inlineStr">
        <is>
          <t xml:space="preserve">198907042025212145</t>
        </is>
      </c>
      <c r="C82" s="11" t="inlineStr">
        <is>
          <t xml:space="preserve">-</t>
        </is>
      </c>
      <c r="D82" s="11" t="inlineStr">
        <is>
          <t xml:space="preserve">Bidan Terampil</t>
        </is>
      </c>
    </row>
    <row r="83" spans="1:4">
      <c r="A83" s="11" t="inlineStr">
        <is>
          <t xml:space="preserve">Nurul Hidayah, A.Md.Keb</t>
        </is>
      </c>
      <c r="B83" s="11" t="inlineStr">
        <is>
          <t xml:space="preserve">199010252025212135</t>
        </is>
      </c>
      <c r="C83" s="11" t="inlineStr">
        <is>
          <t xml:space="preserve">-</t>
        </is>
      </c>
      <c r="D83" s="11" t="inlineStr">
        <is>
          <t xml:space="preserve">Bidan Terampil</t>
        </is>
      </c>
    </row>
    <row r="84" spans="1:4">
      <c r="A84" s="11" t="inlineStr">
        <is>
          <t xml:space="preserve">Nurhudayah, A.Md.Kep</t>
        </is>
      </c>
      <c r="B84" s="11" t="inlineStr">
        <is>
          <t xml:space="preserve">198706162025212101</t>
        </is>
      </c>
      <c r="C84" s="11" t="inlineStr">
        <is>
          <t xml:space="preserve">-</t>
        </is>
      </c>
      <c r="D84" s="11" t="inlineStr">
        <is>
          <t xml:space="preserve">Perawat Terampil</t>
        </is>
      </c>
    </row>
    <row r="85" spans="1:4">
      <c r="A85" s="11" t="inlineStr">
        <is>
          <t xml:space="preserve">Kaharuddin, AMKG</t>
        </is>
      </c>
      <c r="B85" s="11" t="inlineStr">
        <is>
          <t xml:space="preserve">199112302025211096</t>
        </is>
      </c>
      <c r="C85" s="11" t="inlineStr">
        <is>
          <t xml:space="preserve">-</t>
        </is>
      </c>
      <c r="D85" s="11" t="inlineStr">
        <is>
          <t xml:space="preserve">Terapis Gigi dan Mulut Terampil</t>
        </is>
      </c>
    </row>
    <row r="86" spans="1:4">
      <c r="A86" s="11" t="inlineStr">
        <is>
          <t xml:space="preserve">Yasrah, A.Md.Kep</t>
        </is>
      </c>
      <c r="B86" s="11" t="inlineStr">
        <is>
          <t xml:space="preserve">199210062025212130</t>
        </is>
      </c>
      <c r="C86" s="11" t="inlineStr">
        <is>
          <t xml:space="preserve">-</t>
        </is>
      </c>
      <c r="D86" s="11" t="inlineStr">
        <is>
          <t xml:space="preserve">Perawat Terampil</t>
        </is>
      </c>
    </row>
    <row r="87" spans="1:4">
      <c r="A87" s="11" t="inlineStr">
        <is>
          <t xml:space="preserve">Satriani, A.Md.Keb</t>
        </is>
      </c>
      <c r="B87" s="11" t="inlineStr">
        <is>
          <t xml:space="preserve">199211212025212109</t>
        </is>
      </c>
      <c r="C87" s="11" t="inlineStr">
        <is>
          <t xml:space="preserve">-</t>
        </is>
      </c>
      <c r="D87" s="11" t="inlineStr">
        <is>
          <t xml:space="preserve">Bidan Terampil</t>
        </is>
      </c>
    </row>
    <row r="88" spans="1:4">
      <c r="A88" s="11" t="inlineStr">
        <is>
          <t xml:space="preserve">Diana Pingky, A.Md.Keb</t>
        </is>
      </c>
      <c r="B88" s="11" t="inlineStr">
        <is>
          <t xml:space="preserve">199010222025212102</t>
        </is>
      </c>
      <c r="C88" s="11" t="inlineStr">
        <is>
          <t xml:space="preserve">-</t>
        </is>
      </c>
      <c r="D88" s="11" t="inlineStr">
        <is>
          <t xml:space="preserve">Bidan Terampil</t>
        </is>
      </c>
    </row>
    <row r="89" spans="1:4">
      <c r="A89" s="11" t="inlineStr">
        <is>
          <t xml:space="preserve">Raoda, A.Md.Kep</t>
        </is>
      </c>
      <c r="B89" s="11" t="inlineStr">
        <is>
          <t xml:space="preserve">199108162025212126</t>
        </is>
      </c>
      <c r="C89" s="11" t="inlineStr">
        <is>
          <t xml:space="preserve">-</t>
        </is>
      </c>
      <c r="D89" s="11" t="inlineStr">
        <is>
          <t xml:space="preserve">Perawat Terampil</t>
        </is>
      </c>
    </row>
    <row r="90" spans="1:4">
      <c r="A90" s="11" t="inlineStr">
        <is>
          <t xml:space="preserve">Hania, A.Md.Keb</t>
        </is>
      </c>
      <c r="B90" s="11" t="inlineStr">
        <is>
          <t xml:space="preserve">199204132025212137</t>
        </is>
      </c>
      <c r="C90" s="11" t="inlineStr">
        <is>
          <t xml:space="preserve">-</t>
        </is>
      </c>
      <c r="D90" s="11" t="inlineStr">
        <is>
          <t xml:space="preserve">Bidan Terampil</t>
        </is>
      </c>
    </row>
    <row r="91" spans="1:4">
      <c r="A91" s="11" t="inlineStr">
        <is>
          <t xml:space="preserve">Dian Novitasari, S.Kep., Ns</t>
        </is>
      </c>
      <c r="B91" s="11" t="inlineStr">
        <is>
          <t xml:space="preserve">199311172025212107</t>
        </is>
      </c>
      <c r="C91" s="11" t="inlineStr">
        <is>
          <t xml:space="preserve">-</t>
        </is>
      </c>
      <c r="D91" s="11" t="inlineStr">
        <is>
          <t xml:space="preserve">perawat ahli pertama</t>
        </is>
      </c>
    </row>
    <row r="92" spans="1:4">
      <c r="A92" s="11" t="inlineStr">
        <is>
          <t xml:space="preserve">Riska Damayanti, A.Md.Keb</t>
        </is>
      </c>
      <c r="B92" s="11" t="inlineStr">
        <is>
          <t xml:space="preserve">199404282025212131</t>
        </is>
      </c>
      <c r="C92" s="11" t="inlineStr">
        <is>
          <t xml:space="preserve">-</t>
        </is>
      </c>
      <c r="D92" s="11" t="inlineStr">
        <is>
          <t xml:space="preserve">Bidan Terampil</t>
        </is>
      </c>
    </row>
    <row r="93" spans="1:4">
      <c r="A93" s="11" t="inlineStr">
        <is>
          <t xml:space="preserve">Satriani, A.Md,Keb</t>
        </is>
      </c>
      <c r="B93" s="11" t="inlineStr">
        <is>
          <t xml:space="preserve">199110102025212261</t>
        </is>
      </c>
      <c r="C93" s="11" t="inlineStr">
        <is>
          <t xml:space="preserve">-</t>
        </is>
      </c>
      <c r="D93" s="11" t="inlineStr">
        <is>
          <t xml:space="preserve">Bidan Terampil</t>
        </is>
      </c>
    </row>
    <row r="94" spans="1:4">
      <c r="A94" s="11" t="inlineStr">
        <is>
          <t xml:space="preserve">Nova Juniati, A.Md.Keb</t>
        </is>
      </c>
      <c r="B94" s="11" t="inlineStr">
        <is>
          <t xml:space="preserve">199306252025212122</t>
        </is>
      </c>
      <c r="C94" s="11" t="inlineStr">
        <is>
          <t xml:space="preserve">-</t>
        </is>
      </c>
      <c r="D94" s="11" t="inlineStr">
        <is>
          <t xml:space="preserve">Bidan Terampil</t>
        </is>
      </c>
    </row>
    <row r="95" spans="1:4">
      <c r="A95" s="11" t="inlineStr">
        <is>
          <t xml:space="preserve">St. Rosmiati, A.Md.Keb</t>
        </is>
      </c>
      <c r="B95" s="11" t="inlineStr">
        <is>
          <t xml:space="preserve">198004052025212078</t>
        </is>
      </c>
      <c r="C95" s="11" t="inlineStr">
        <is>
          <t xml:space="preserve">-</t>
        </is>
      </c>
      <c r="D95" s="11" t="inlineStr">
        <is>
          <t xml:space="preserve">Bidan Terampil</t>
        </is>
      </c>
    </row>
    <row r="96" spans="1:4">
      <c r="A96" s="11" t="inlineStr">
        <is>
          <t xml:space="preserve">Bustan</t>
        </is>
      </c>
      <c r="B96" s="11" t="inlineStr">
        <is>
          <t xml:space="preserve">197805122025211101</t>
        </is>
      </c>
      <c r="C96" s="11" t="inlineStr">
        <is>
          <t xml:space="preserve">-</t>
        </is>
      </c>
      <c r="D96" s="11" t="inlineStr">
        <is>
          <t xml:space="preserve">Operator Layanan Operasional</t>
        </is>
      </c>
    </row>
    <row r="97" spans="1:4">
      <c r="A97" s="11" t="inlineStr">
        <is>
          <t xml:space="preserve">Rahmadani Eka Saputri, A.Md.Kep</t>
        </is>
      </c>
      <c r="B97" s="11" t="inlineStr">
        <is>
          <t xml:space="preserve">199103272025212154</t>
        </is>
      </c>
      <c r="C97" s="11" t="inlineStr">
        <is>
          <t xml:space="preserve">-</t>
        </is>
      </c>
      <c r="D97" s="11" t="inlineStr">
        <is>
          <t xml:space="preserve">Perawat Terampil</t>
        </is>
      </c>
    </row>
    <row r="98" spans="1:4">
      <c r="A98" s="11" t="inlineStr">
        <is>
          <t xml:space="preserve">Zunnung</t>
        </is>
      </c>
      <c r="B98" s="11" t="inlineStr">
        <is>
          <t xml:space="preserve">197810312025212021</t>
        </is>
      </c>
      <c r="C98" s="11" t="inlineStr">
        <is>
          <t xml:space="preserve">-</t>
        </is>
      </c>
      <c r="D98" s="11" t="inlineStr">
        <is>
          <t xml:space="preserve">Operator Layanan Operasional</t>
        </is>
      </c>
    </row>
    <row r="99" spans="1:4">
      <c r="A99" s="11" t="inlineStr">
        <is>
          <t xml:space="preserve">Andi Faisal</t>
        </is>
      </c>
      <c r="B99" s="11" t="inlineStr">
        <is>
          <t xml:space="preserve">198210132025211090</t>
        </is>
      </c>
      <c r="C99" s="11" t="inlineStr">
        <is>
          <t xml:space="preserve">-</t>
        </is>
      </c>
      <c r="D99" s="11" t="inlineStr">
        <is>
          <t xml:space="preserve">Operator Layanan Operasional</t>
        </is>
      </c>
    </row>
    <row r="100" spans="1:4">
      <c r="A100" s="11" t="inlineStr">
        <is>
          <t xml:space="preserve">Rusni</t>
        </is>
      </c>
      <c r="B100" s="11" t="inlineStr">
        <is>
          <t xml:space="preserve">197107112025212010</t>
        </is>
      </c>
      <c r="C100" s="11" t="inlineStr">
        <is>
          <t xml:space="preserve">-</t>
        </is>
      </c>
      <c r="D100" s="11" t="inlineStr">
        <is>
          <t xml:space="preserve">Operator Layanan Operasional</t>
        </is>
      </c>
    </row>
    <row r="101" spans="1:4">
      <c r="A101" s="11" t="inlineStr">
        <is>
          <t xml:space="preserve">Ririn Agreani</t>
        </is>
      </c>
      <c r="B101" s="11" t="inlineStr">
        <is>
          <t xml:space="preserve">198602132025212061</t>
        </is>
      </c>
      <c r="C101" s="11" t="inlineStr">
        <is>
          <t xml:space="preserve">-</t>
        </is>
      </c>
      <c r="D101" s="11" t="inlineStr">
        <is>
          <t xml:space="preserve">Operator Layanan Operasional</t>
        </is>
      </c>
    </row>
    <row r="102" spans="1:4">
      <c r="A102" s="11" t="inlineStr">
        <is>
          <t xml:space="preserve">Megawati, SE</t>
        </is>
      </c>
      <c r="B102" s="11" t="inlineStr">
        <is>
          <t xml:space="preserve">197107242025212013</t>
        </is>
      </c>
      <c r="C102" s="11" t="inlineStr">
        <is>
          <t xml:space="preserve">-</t>
        </is>
      </c>
      <c r="D102" s="11" t="inlineStr">
        <is>
          <t xml:space="preserve">Penata Layanan Operasional</t>
        </is>
      </c>
    </row>
    <row r="103" spans="1:4">
      <c r="A103" s="11" t="inlineStr">
        <is>
          <t xml:space="preserve">Nuraeni</t>
        </is>
      </c>
      <c r="B103" s="11" t="inlineStr">
        <is>
          <t xml:space="preserve">198010172025212042</t>
        </is>
      </c>
      <c r="C103" s="11" t="inlineStr">
        <is>
          <t xml:space="preserve">-</t>
        </is>
      </c>
      <c r="D103" s="11" t="inlineStr">
        <is>
          <t xml:space="preserve">Operator Layanan Operasional</t>
        </is>
      </c>
    </row>
    <row r="104" spans="1:4">
      <c r="A104" s="11" t="inlineStr">
        <is>
          <t xml:space="preserve">Nurlaela, A.Md.Keb</t>
        </is>
      </c>
      <c r="B104" s="11" t="inlineStr">
        <is>
          <t xml:space="preserve">199408202025212140</t>
        </is>
      </c>
      <c r="C104" s="11" t="inlineStr">
        <is>
          <t xml:space="preserve">-</t>
        </is>
      </c>
      <c r="D104" s="11" t="inlineStr">
        <is>
          <t xml:space="preserve">Bidan Terampil</t>
        </is>
      </c>
    </row>
    <row r="105" spans="1:4">
      <c r="A105" s="11" t="inlineStr">
        <is>
          <t xml:space="preserve">Ria Ekayati, A.Md., Anakes</t>
        </is>
      </c>
      <c r="B105" s="11" t="inlineStr">
        <is>
          <t xml:space="preserve">199405052025212201</t>
        </is>
      </c>
      <c r="C105" s="11" t="inlineStr">
        <is>
          <t xml:space="preserve">-</t>
        </is>
      </c>
      <c r="D105" s="11" t="inlineStr">
        <is>
          <t xml:space="preserve">Pranata Laboratorium Kesehatan Terampil</t>
        </is>
      </c>
    </row>
    <row r="106" spans="1:4">
      <c r="A106" s="11" t="inlineStr">
        <is>
          <t xml:space="preserve">Halifah, Amd. Farm</t>
        </is>
      </c>
      <c r="B106" s="11" t="inlineStr">
        <is>
          <t xml:space="preserve">7309136707960001</t>
        </is>
      </c>
      <c r="C106" s="11" t="inlineStr">
        <is>
          <t xml:space="preserve">-</t>
        </is>
      </c>
      <c r="D106" s="11" t="inlineStr">
        <is>
          <t xml:space="preserve">Farmasi</t>
        </is>
      </c>
    </row>
    <row r="107" spans="1:4">
      <c r="A107" s="11" t="inlineStr">
        <is>
          <t xml:space="preserve">Dilha Octaviani, S.Tr. Farm</t>
        </is>
      </c>
      <c r="B107" s="11" t="inlineStr">
        <is>
          <t xml:space="preserve">7309136810000002</t>
        </is>
      </c>
      <c r="C107" s="11" t="inlineStr">
        <is>
          <t xml:space="preserve">-</t>
        </is>
      </c>
      <c r="D107" s="11" t="inlineStr">
        <is>
          <t xml:space="preserve">Asisten Apoteker</t>
        </is>
      </c>
    </row>
    <row r="108" spans="1:4">
      <c r="A108" s="11" t="inlineStr">
        <is>
          <t xml:space="preserve">Apt, Andi Busmayanti, M. Si</t>
        </is>
      </c>
      <c r="B108" s="11" t="inlineStr">
        <is>
          <t xml:space="preserve">7371096403880003</t>
        </is>
      </c>
      <c r="C108" s="11" t="inlineStr">
        <is>
          <t xml:space="preserve">-</t>
        </is>
      </c>
      <c r="D108" s="11" t="inlineStr">
        <is>
          <t xml:space="preserve">Apoteker</t>
        </is>
      </c>
    </row>
    <row r="109" spans="1:4">
      <c r="A109" s="11" t="inlineStr">
        <is>
          <t xml:space="preserve">Nurfatwah, S. Farm</t>
        </is>
      </c>
      <c r="B109" s="11" t="inlineStr">
        <is>
          <t xml:space="preserve">7309074906890003</t>
        </is>
      </c>
      <c r="C109" s="11" t="inlineStr">
        <is>
          <t xml:space="preserve">-</t>
        </is>
      </c>
      <c r="D109" s="11" t="inlineStr">
        <is>
          <t xml:space="preserve">Farmasi</t>
        </is>
      </c>
    </row>
    <row r="110" spans="1:4">
      <c r="A110" s="11" t="inlineStr">
        <is>
          <t xml:space="preserve">Widyastuti Agraha, A.Md.Kep</t>
        </is>
      </c>
      <c r="B110" s="11" t="inlineStr">
        <is>
          <t xml:space="preserve">7312014707970001</t>
        </is>
      </c>
      <c r="C110" s="11" t="inlineStr">
        <is>
          <t xml:space="preserve">-</t>
        </is>
      </c>
      <c r="D110" s="11" t="inlineStr">
        <is>
          <t xml:space="preserve">Perawat</t>
        </is>
      </c>
    </row>
    <row r="111" spans="1:4">
      <c r="A111" s="11" t="inlineStr">
        <is>
          <t xml:space="preserve">Siti Sakinah Yasti, SKM</t>
        </is>
      </c>
      <c r="B111" s="11" t="inlineStr">
        <is>
          <t xml:space="preserve">7371145805940002</t>
        </is>
      </c>
      <c r="C111" s="11" t="inlineStr">
        <is>
          <t xml:space="preserve">-</t>
        </is>
      </c>
      <c r="D111" s="11" t="inlineStr">
        <is>
          <t xml:space="preserve">Adminkes</t>
        </is>
      </c>
    </row>
    <row r="112" spans="1:4">
      <c r="A112" s="11" t="inlineStr">
        <is>
          <t xml:space="preserve">Adryana B, A. Md.Keb</t>
        </is>
      </c>
      <c r="B112" s="11" t="inlineStr">
        <is>
          <t xml:space="preserve">7308024702900001</t>
        </is>
      </c>
      <c r="C112" s="11" t="inlineStr">
        <is>
          <t xml:space="preserve">-</t>
        </is>
      </c>
      <c r="D112" s="11" t="inlineStr">
        <is>
          <t xml:space="preserve">Bidan</t>
        </is>
      </c>
    </row>
    <row r="113" spans="1:4">
      <c r="A113" s="11" t="inlineStr">
        <is>
          <t xml:space="preserve">Megawati, A.Md.Keb</t>
        </is>
      </c>
      <c r="B113" s="11" t="inlineStr">
        <is>
          <t xml:space="preserve">7309134302930001</t>
        </is>
      </c>
      <c r="C113" s="11" t="inlineStr">
        <is>
          <t xml:space="preserve">-</t>
        </is>
      </c>
      <c r="D113" s="11" t="inlineStr">
        <is>
          <t xml:space="preserve">Bidan</t>
        </is>
      </c>
    </row>
    <row r="114" spans="1:4">
      <c r="A114" s="11" t="inlineStr">
        <is>
          <t xml:space="preserve">Hermitha Febrianti Sari, A.Md.Keb</t>
        </is>
      </c>
      <c r="B114" s="11" t="inlineStr">
        <is>
          <t xml:space="preserve">7309015602000003</t>
        </is>
      </c>
      <c r="C114" s="11" t="inlineStr">
        <is>
          <t xml:space="preserve">-</t>
        </is>
      </c>
      <c r="D114" s="11" t="inlineStr">
        <is>
          <t xml:space="preserve">Bidan</t>
        </is>
      </c>
    </row>
    <row r="115" spans="1:4">
      <c r="A115" s="11" t="inlineStr">
        <is>
          <t xml:space="preserve">Mega Utami, A.Md.Keb</t>
        </is>
      </c>
      <c r="B115" s="11" t="inlineStr">
        <is>
          <t xml:space="preserve">7371126208980002</t>
        </is>
      </c>
      <c r="C115" s="11" t="inlineStr">
        <is>
          <t xml:space="preserve">-</t>
        </is>
      </c>
      <c r="D115" s="11" t="inlineStr">
        <is>
          <t xml:space="preserve">Bidan</t>
        </is>
      </c>
    </row>
    <row r="116" spans="1:4">
      <c r="A116" s="11" t="inlineStr">
        <is>
          <t xml:space="preserve">Mardiana, A.Md. Keb</t>
        </is>
      </c>
      <c r="B116" s="11" t="inlineStr">
        <is>
          <t xml:space="preserve">7309134105960002</t>
        </is>
      </c>
      <c r="C116" s="11" t="inlineStr">
        <is>
          <t xml:space="preserve">-</t>
        </is>
      </c>
      <c r="D116" s="11" t="inlineStr">
        <is>
          <t xml:space="preserve">Bidan</t>
        </is>
      </c>
    </row>
    <row r="117" spans="1:4">
      <c r="A117" s="11" t="inlineStr">
        <is>
          <t xml:space="preserve">Fatimah Az Zahrah, S.Tr.Kes</t>
        </is>
      </c>
      <c r="B117" s="11" t="inlineStr">
        <is>
          <t xml:space="preserve">5305015804990003</t>
        </is>
      </c>
      <c r="C117" s="11" t="inlineStr">
        <is>
          <t xml:space="preserve">-</t>
        </is>
      </c>
      <c r="D117" s="11" t="inlineStr">
        <is>
          <t xml:space="preserve">Kesling</t>
        </is>
      </c>
    </row>
    <row r="118" spans="1:4">
      <c r="A118" s="11" t="inlineStr">
        <is>
          <t xml:space="preserve">Inggit Widayanti, A.Md.Keb</t>
        </is>
      </c>
      <c r="B118" s="11" t="inlineStr">
        <is>
          <t xml:space="preserve">7371016103910002</t>
        </is>
      </c>
      <c r="C118" s="11" t="inlineStr">
        <is>
          <t xml:space="preserve">-</t>
        </is>
      </c>
      <c r="D118" s="11" t="inlineStr">
        <is>
          <t xml:space="preserve">Bidan</t>
        </is>
      </c>
    </row>
    <row r="119" spans="1:4">
      <c r="A119" s="11" t="inlineStr">
        <is>
          <t xml:space="preserve">Andi Suci Astuti, A.Md.Keb</t>
        </is>
      </c>
      <c r="B119" s="11" t="inlineStr">
        <is>
          <t xml:space="preserve">7310114305930001</t>
        </is>
      </c>
      <c r="C119" s="11" t="inlineStr">
        <is>
          <t xml:space="preserve">-</t>
        </is>
      </c>
      <c r="D119" s="11" t="inlineStr">
        <is>
          <t xml:space="preserve">Bidan</t>
        </is>
      </c>
    </row>
    <row r="120" spans="1:4">
      <c r="A120" s="11" t="inlineStr">
        <is>
          <t xml:space="preserve">Irawaty Rahman, S.ST</t>
        </is>
      </c>
      <c r="B120" s="11" t="inlineStr">
        <is>
          <t xml:space="preserve">7306084607900003</t>
        </is>
      </c>
      <c r="C120" s="11" t="inlineStr">
        <is>
          <t xml:space="preserve">-</t>
        </is>
      </c>
      <c r="D120" s="11" t="inlineStr">
        <is>
          <t xml:space="preserve">Bidan</t>
        </is>
      </c>
    </row>
    <row r="121" spans="1:4">
      <c r="A121" s="11" t="inlineStr">
        <is>
          <t xml:space="preserve">INTAN FITRIANI. S.Farm</t>
        </is>
      </c>
      <c r="B121" s="11" t="inlineStr">
        <is>
          <t xml:space="preserve">7309135401030001</t>
        </is>
      </c>
      <c r="C121" s="11" t="inlineStr">
        <is>
          <t xml:space="preserve">-</t>
        </is>
      </c>
      <c r="D121" s="11" t="inlineStr">
        <is>
          <t xml:space="preserve">Asisten Apoteker</t>
        </is>
      </c>
    </row>
    <row r="122" spans="1:4">
      <c r="A122" s="11" t="inlineStr">
        <is>
          <t xml:space="preserve">Resky Ervina Ary Handayani, A.Md.Kep</t>
        </is>
      </c>
      <c r="B122" s="11" t="inlineStr">
        <is>
          <t xml:space="preserve">7309075710890001</t>
        </is>
      </c>
      <c r="C122" s="11" t="inlineStr">
        <is>
          <t xml:space="preserve">-</t>
        </is>
      </c>
      <c r="D122" s="11" t="inlineStr">
        <is>
          <t xml:space="preserve">Perawat</t>
        </is>
      </c>
    </row>
    <row r="123" spans="1:4">
      <c r="A123" s="11" t="inlineStr">
        <is>
          <t xml:space="preserve">Riski Ilhani, A.Md.GZ</t>
        </is>
      </c>
      <c r="B123" s="11" t="inlineStr">
        <is>
          <t xml:space="preserve">7309137007930001</t>
        </is>
      </c>
      <c r="C123" s="11" t="inlineStr">
        <is>
          <t xml:space="preserve">-</t>
        </is>
      </c>
      <c r="D123" s="11" t="inlineStr">
        <is>
          <t xml:space="preserve">Gizi</t>
        </is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8.6640625" defaultRowHeight="14.4" x14ac:dyDescent="0.3"/>
  <cols>
    <col min="1" max="1" width="34" customWidth="1"/>
    <col min="2" max="2" width="36" customWidth="1"/>
    <col min="3" max="3" width="40" customWidth="1"/>
    <col min="4" max="4" width="13" customWidth="1"/>
    <col min="5" max="6" width="24" customWidth="1"/>
    <col min="7" max="7" width="44" customWidth="1"/>
    <col min="8" max="8" width="34" customWidth="1"/>
    <col min="9" max="9" width="32" customWidth="1"/>
  </cols>
  <sheetData>
    <row r="1" spans="1:9" ht="21.75" customHeight="1" x14ac:dyDescent="0.3">
      <c r="A1" s="6" t="inlineStr">
        <is>
          <t xml:space="preserve">Nomor SPD (angka urut)</t>
        </is>
      </c>
      <c r="B1" s="6" t="s">
        <v>102</v>
      </c>
      <c r="C1" s="6" t="s">
        <v>103</v>
      </c>
      <c r="D1" s="6" t="s">
        <v>104</v>
      </c>
      <c r="E1" s="6" t="s">
        <v>53</v>
      </c>
      <c r="F1" s="6" t="s">
        <v>105</v>
      </c>
      <c r="G1" s="6" t="s">
        <v>55</v>
      </c>
      <c r="H1" s="6" t="s">
        <v>106</v>
      </c>
      <c r="I1" s="6" t="inlineStr">
        <is>
          <t xml:space="preserve">Nomor SPD lengkap (otomatis)</t>
        </is>
      </c>
    </row>
    <row r="2" spans="1:9" x14ac:dyDescent="0.3">
      <c r="A2" s="8">
        <v>2310</v>
      </c>
      <c r="B2" s="8" t="s">
        <v>56</v>
      </c>
      <c r="C2" s="8" t="s">
        <v>107</v>
      </c>
      <c r="D2" s="12">
        <v>46235</v>
      </c>
      <c r="E2" s="13" t="str">
        <f>IF($B2="","",IFERROR(INDEX(Pegawai!$B:$B,MATCH($B2,Pegawai!$A:$A,0)),""))</f>
        <v/>
      </c>
      <c r="F2" s="13" t="str">
        <f>IF($B2="","",IFERROR(INDEX(Pegawai!$C:$C,MATCH($B2,Pegawai!$A:$A,0)),""))</f>
        <v/>
      </c>
      <c r="G2" s="13" t="str">
        <f>IF($B2="","",IFERROR(INDEX(Pegawai!$D:$D,MATCH($B2,Pegawai!$A:$A,0)),""))</f>
        <v/>
      </c>
      <c r="H2" s="13" t="str">
        <f>IF($B2="","",IF(ISNA(MATCH($B2,Pegawai!$A:$A,0)),"Nama tidak ada di daftar Pegawai",IF($A2="","Nomor SPD belum diisi",IF($C2="","Tempat tujuan kosong",IF(NOT(ISNUMBER($D2)),"Tanggal kosong/bukan tanggal",IF(COUNTIF($B$2:$B$200,$B2)&gt;6,"OK",IF(COUNTIFS($B$2:$B$200,$B2,$A$2:$A$200,"&lt;&gt;"&amp;$A2)&gt;0,"Nomor SPD berbeda untuk pegawai yang sama","OK")))))))</f>
        <v/>
      </c>
      <c r="I2" s="13" t="str">
        <f>IF($A2="","",IF(ISNUMBER(SEARCH("/",$A2)),$A2,IF(Kegiatan!$B$3="","(isi Tanggal dikeluarkan)",$A2&amp;"/"&amp;Kegiatan!$B$15&amp;"/"&amp;ROMAN(MONTH(Kegiatan!$B$3))&amp;"/"&amp;YEAR(Kegiatan!$B$3))))</f>
        <v/>
      </c>
    </row>
    <row r="3" spans="1:9" x14ac:dyDescent="0.3">
      <c r="A3" s="8">
        <v>2310</v>
      </c>
      <c r="B3" s="8" t="s">
        <v>56</v>
      </c>
      <c r="C3" s="8" t="s">
        <v>108</v>
      </c>
      <c r="D3" s="12">
        <v>46237</v>
      </c>
      <c r="E3" s="13" t="str">
        <f>IF($B3="","",IFERROR(INDEX(Pegawai!$B:$B,MATCH($B3,Pegawai!$A:$A,0)),""))</f>
        <v/>
      </c>
      <c r="F3" s="13" t="str">
        <f>IF($B3="","",IFERROR(INDEX(Pegawai!$C:$C,MATCH($B3,Pegawai!$A:$A,0)),""))</f>
        <v/>
      </c>
      <c r="G3" s="13" t="str">
        <f>IF($B3="","",IFERROR(INDEX(Pegawai!$D:$D,MATCH($B3,Pegawai!$A:$A,0)),""))</f>
        <v/>
      </c>
      <c r="H3" s="13" t="str">
        <f>IF($B3="","",IF(ISNA(MATCH($B3,Pegawai!$A:$A,0)),"Nama tidak ada di daftar Pegawai",IF($A3="","Nomor SPD belum diisi",IF($C3="","Tempat tujuan kosong",IF(NOT(ISNUMBER($D3)),"Tanggal kosong/bukan tanggal",IF(COUNTIF($B$2:$B$200,$B3)&gt;6,"OK",IF(COUNTIFS($B$2:$B$200,$B3,$A$2:$A$200,"&lt;&gt;"&amp;$A3)&gt;0,"Nomor SPD berbeda untuk pegawai yang sama","OK")))))))</f>
        <v/>
      </c>
      <c r="I3" s="13" t="str">
        <f>IF($A3="","",IF(ISNUMBER(SEARCH("/",$A3)),$A3,IF(Kegiatan!$B$3="","(isi Tanggal dikeluarkan)",$A3&amp;"/"&amp;Kegiatan!$B$15&amp;"/"&amp;ROMAN(MONTH(Kegiatan!$B$3))&amp;"/"&amp;YEAR(Kegiatan!$B$3))))</f>
        <v/>
      </c>
    </row>
    <row r="4" spans="1:9" x14ac:dyDescent="0.3">
      <c r="A4" s="8">
        <v>2310</v>
      </c>
      <c r="B4" s="8" t="s">
        <v>56</v>
      </c>
      <c r="C4" s="8" t="s">
        <v>109</v>
      </c>
      <c r="D4" s="12">
        <v>46240</v>
      </c>
      <c r="E4" s="13" t="str">
        <f>IF($B4="","",IFERROR(INDEX(Pegawai!$B:$B,MATCH($B4,Pegawai!$A:$A,0)),""))</f>
        <v/>
      </c>
      <c r="F4" s="13" t="str">
        <f>IF($B4="","",IFERROR(INDEX(Pegawai!$C:$C,MATCH($B4,Pegawai!$A:$A,0)),""))</f>
        <v/>
      </c>
      <c r="G4" s="13" t="str">
        <f>IF($B4="","",IFERROR(INDEX(Pegawai!$D:$D,MATCH($B4,Pegawai!$A:$A,0)),""))</f>
        <v/>
      </c>
      <c r="H4" s="13" t="str">
        <f>IF($B4="","",IF(ISNA(MATCH($B4,Pegawai!$A:$A,0)),"Nama tidak ada di daftar Pegawai",IF($A4="","Nomor SPD belum diisi",IF($C4="","Tempat tujuan kosong",IF(NOT(ISNUMBER($D4)),"Tanggal kosong/bukan tanggal",IF(COUNTIF($B$2:$B$200,$B4)&gt;6,"OK",IF(COUNTIFS($B$2:$B$200,$B4,$A$2:$A$200,"&lt;&gt;"&amp;$A4)&gt;0,"Nomor SPD berbeda untuk pegawai yang sama","OK")))))))</f>
        <v/>
      </c>
      <c r="I4" s="13" t="str">
        <f>IF($A4="","",IF(ISNUMBER(SEARCH("/",$A4)),$A4,IF(Kegiatan!$B$3="","(isi Tanggal dikeluarkan)",$A4&amp;"/"&amp;Kegiatan!$B$15&amp;"/"&amp;ROMAN(MONTH(Kegiatan!$B$3))&amp;"/"&amp;YEAR(Kegiatan!$B$3))))</f>
        <v/>
      </c>
    </row>
    <row r="5" spans="1:9" x14ac:dyDescent="0.3">
      <c r="A5" s="8">
        <v>2310</v>
      </c>
      <c r="B5" s="8" t="s">
        <v>56</v>
      </c>
      <c r="C5" s="8" t="s">
        <v>110</v>
      </c>
      <c r="D5" s="12">
        <v>46249</v>
      </c>
      <c r="E5" s="13" t="str">
        <f>IF($B5="","",IFERROR(INDEX(Pegawai!$B:$B,MATCH($B5,Pegawai!$A:$A,0)),""))</f>
        <v/>
      </c>
      <c r="F5" s="13" t="str">
        <f>IF($B5="","",IFERROR(INDEX(Pegawai!$C:$C,MATCH($B5,Pegawai!$A:$A,0)),""))</f>
        <v/>
      </c>
      <c r="G5" s="13" t="str">
        <f>IF($B5="","",IFERROR(INDEX(Pegawai!$D:$D,MATCH($B5,Pegawai!$A:$A,0)),""))</f>
        <v/>
      </c>
      <c r="H5" s="13" t="str">
        <f>IF($B5="","",IF(ISNA(MATCH($B5,Pegawai!$A:$A,0)),"Nama tidak ada di daftar Pegawai",IF($A5="","Nomor SPD belum diisi",IF($C5="","Tempat tujuan kosong",IF(NOT(ISNUMBER($D5)),"Tanggal kosong/bukan tanggal",IF(COUNTIF($B$2:$B$200,$B5)&gt;6,"OK",IF(COUNTIFS($B$2:$B$200,$B5,$A$2:$A$200,"&lt;&gt;"&amp;$A5)&gt;0,"Nomor SPD berbeda untuk pegawai yang sama","OK")))))))</f>
        <v/>
      </c>
      <c r="I5" s="13" t="str">
        <f>IF($A5="","",IF(ISNUMBER(SEARCH("/",$A5)),$A5,IF(Kegiatan!$B$3="","(isi Tanggal dikeluarkan)",$A5&amp;"/"&amp;Kegiatan!$B$15&amp;"/"&amp;ROMAN(MONTH(Kegiatan!$B$3))&amp;"/"&amp;YEAR(Kegiatan!$B$3))))</f>
        <v/>
      </c>
    </row>
    <row r="6" spans="1:9" x14ac:dyDescent="0.3">
      <c r="A6" s="8">
        <v>2311</v>
      </c>
      <c r="B6" s="8" t="s">
        <v>60</v>
      </c>
      <c r="C6" s="8" t="s">
        <v>111</v>
      </c>
      <c r="D6" s="12">
        <v>46239</v>
      </c>
      <c r="E6" s="13" t="str">
        <f>IF($B6="","",IFERROR(INDEX(Pegawai!$B:$B,MATCH($B6,Pegawai!$A:$A,0)),""))</f>
        <v/>
      </c>
      <c r="F6" s="13" t="str">
        <f>IF($B6="","",IFERROR(INDEX(Pegawai!$C:$C,MATCH($B6,Pegawai!$A:$A,0)),""))</f>
        <v/>
      </c>
      <c r="G6" s="13" t="str">
        <f>IF($B6="","",IFERROR(INDEX(Pegawai!$D:$D,MATCH($B6,Pegawai!$A:$A,0)),""))</f>
        <v/>
      </c>
      <c r="H6" s="13" t="str">
        <f>IF($B6="","",IF(ISNA(MATCH($B6,Pegawai!$A:$A,0)),"Nama tidak ada di daftar Pegawai",IF($A6="","Nomor SPD belum diisi",IF($C6="","Tempat tujuan kosong",IF(NOT(ISNUMBER($D6)),"Tanggal kosong/bukan tanggal",IF(COUNTIF($B$2:$B$200,$B6)&gt;6,"OK",IF(COUNTIFS($B$2:$B$200,$B6,$A$2:$A$200,"&lt;&gt;"&amp;$A6)&gt;0,"Nomor SPD berbeda untuk pegawai yang sama","OK")))))))</f>
        <v/>
      </c>
      <c r="I6" s="13" t="str">
        <f>IF($A6="","",IF(ISNUMBER(SEARCH("/",$A6)),$A6,IF(Kegiatan!$B$3="","(isi Tanggal dikeluarkan)",$A6&amp;"/"&amp;Kegiatan!$B$15&amp;"/"&amp;ROMAN(MONTH(Kegiatan!$B$3))&amp;"/"&amp;YEAR(Kegiatan!$B$3))))</f>
        <v/>
      </c>
    </row>
    <row r="7" spans="1:9" x14ac:dyDescent="0.3">
      <c r="A7" s="8">
        <v>2311</v>
      </c>
      <c r="B7" s="8" t="s">
        <v>60</v>
      </c>
      <c r="C7" s="8" t="s">
        <v>112</v>
      </c>
      <c r="D7" s="12">
        <v>46240</v>
      </c>
      <c r="E7" s="13" t="str">
        <f>IF($B7="","",IFERROR(INDEX(Pegawai!$B:$B,MATCH($B7,Pegawai!$A:$A,0)),""))</f>
        <v/>
      </c>
      <c r="F7" s="13" t="str">
        <f>IF($B7="","",IFERROR(INDEX(Pegawai!$C:$C,MATCH($B7,Pegawai!$A:$A,0)),""))</f>
        <v/>
      </c>
      <c r="G7" s="13" t="str">
        <f>IF($B7="","",IFERROR(INDEX(Pegawai!$D:$D,MATCH($B7,Pegawai!$A:$A,0)),""))</f>
        <v/>
      </c>
      <c r="H7" s="13" t="str">
        <f>IF($B7="","",IF(ISNA(MATCH($B7,Pegawai!$A:$A,0)),"Nama tidak ada di daftar Pegawai",IF($A7="","Nomor SPD belum diisi",IF($C7="","Tempat tujuan kosong",IF(NOT(ISNUMBER($D7)),"Tanggal kosong/bukan tanggal",IF(COUNTIF($B$2:$B$200,$B7)&gt;6,"OK",IF(COUNTIFS($B$2:$B$200,$B7,$A$2:$A$200,"&lt;&gt;"&amp;$A7)&gt;0,"Nomor SPD berbeda untuk pegawai yang sama","OK")))))))</f>
        <v/>
      </c>
      <c r="I7" s="13" t="str">
        <f>IF($A7="","",IF(ISNUMBER(SEARCH("/",$A7)),$A7,IF(Kegiatan!$B$3="","(isi Tanggal dikeluarkan)",$A7&amp;"/"&amp;Kegiatan!$B$15&amp;"/"&amp;ROMAN(MONTH(Kegiatan!$B$3))&amp;"/"&amp;YEAR(Kegiatan!$B$3))))</f>
        <v/>
      </c>
    </row>
    <row r="8" spans="1:9" x14ac:dyDescent="0.3">
      <c r="A8" s="8">
        <v>2311</v>
      </c>
      <c r="B8" s="8" t="s">
        <v>60</v>
      </c>
      <c r="C8" s="8" t="s">
        <v>113</v>
      </c>
      <c r="D8" s="12">
        <v>46241</v>
      </c>
      <c r="E8" s="13" t="str">
        <f>IF($B8="","",IFERROR(INDEX(Pegawai!$B:$B,MATCH($B8,Pegawai!$A:$A,0)),""))</f>
        <v/>
      </c>
      <c r="F8" s="13" t="str">
        <f>IF($B8="","",IFERROR(INDEX(Pegawai!$C:$C,MATCH($B8,Pegawai!$A:$A,0)),""))</f>
        <v/>
      </c>
      <c r="G8" s="13" t="str">
        <f>IF($B8="","",IFERROR(INDEX(Pegawai!$D:$D,MATCH($B8,Pegawai!$A:$A,0)),""))</f>
        <v/>
      </c>
      <c r="H8" s="13" t="str">
        <f>IF($B8="","",IF(ISNA(MATCH($B8,Pegawai!$A:$A,0)),"Nama tidak ada di daftar Pegawai",IF($A8="","Nomor SPD belum diisi",IF($C8="","Tempat tujuan kosong",IF(NOT(ISNUMBER($D8)),"Tanggal kosong/bukan tanggal",IF(COUNTIF($B$2:$B$200,$B8)&gt;6,"OK",IF(COUNTIFS($B$2:$B$200,$B8,$A$2:$A$200,"&lt;&gt;"&amp;$A8)&gt;0,"Nomor SPD berbeda untuk pegawai yang sama","OK")))))))</f>
        <v/>
      </c>
      <c r="I8" s="13" t="str">
        <f>IF($A8="","",IF(ISNUMBER(SEARCH("/",$A8)),$A8,IF(Kegiatan!$B$3="","(isi Tanggal dikeluarkan)",$A8&amp;"/"&amp;Kegiatan!$B$15&amp;"/"&amp;ROMAN(MONTH(Kegiatan!$B$3))&amp;"/"&amp;YEAR(Kegiatan!$B$3))))</f>
        <v/>
      </c>
    </row>
    <row r="9" spans="1:9" x14ac:dyDescent="0.3">
      <c r="A9" s="8">
        <v>2311</v>
      </c>
      <c r="B9" s="8" t="s">
        <v>60</v>
      </c>
      <c r="C9" s="8" t="s">
        <v>114</v>
      </c>
      <c r="D9" s="12">
        <v>46244</v>
      </c>
      <c r="E9" s="13" t="str">
        <f>IF($B9="","",IFERROR(INDEX(Pegawai!$B:$B,MATCH($B9,Pegawai!$A:$A,0)),""))</f>
        <v/>
      </c>
      <c r="F9" s="13" t="str">
        <f>IF($B9="","",IFERROR(INDEX(Pegawai!$C:$C,MATCH($B9,Pegawai!$A:$A,0)),""))</f>
        <v/>
      </c>
      <c r="G9" s="13" t="str">
        <f>IF($B9="","",IFERROR(INDEX(Pegawai!$D:$D,MATCH($B9,Pegawai!$A:$A,0)),""))</f>
        <v/>
      </c>
      <c r="H9" s="13" t="str">
        <f>IF($B9="","",IF(ISNA(MATCH($B9,Pegawai!$A:$A,0)),"Nama tidak ada di daftar Pegawai",IF($A9="","Nomor SPD belum diisi",IF($C9="","Tempat tujuan kosong",IF(NOT(ISNUMBER($D9)),"Tanggal kosong/bukan tanggal",IF(COUNTIF($B$2:$B$200,$B9)&gt;6,"OK",IF(COUNTIFS($B$2:$B$200,$B9,$A$2:$A$200,"&lt;&gt;"&amp;$A9)&gt;0,"Nomor SPD berbeda untuk pegawai yang sama","OK")))))))</f>
        <v/>
      </c>
      <c r="I9" s="13" t="str">
        <f>IF($A9="","",IF(ISNUMBER(SEARCH("/",$A9)),$A9,IF(Kegiatan!$B$3="","(isi Tanggal dikeluarkan)",$A9&amp;"/"&amp;Kegiatan!$B$15&amp;"/"&amp;ROMAN(MONTH(Kegiatan!$B$3))&amp;"/"&amp;YEAR(Kegiatan!$B$3))))</f>
        <v/>
      </c>
    </row>
    <row r="10" spans="1:9" x14ac:dyDescent="0.3">
      <c r="A10" s="8">
        <v>2311</v>
      </c>
      <c r="B10" s="8" t="s">
        <v>60</v>
      </c>
      <c r="C10" s="8" t="s">
        <v>115</v>
      </c>
      <c r="D10" s="12">
        <v>46245</v>
      </c>
      <c r="E10" s="13" t="str">
        <f>IF($B10="","",IFERROR(INDEX(Pegawai!$B:$B,MATCH($B10,Pegawai!$A:$A,0)),""))</f>
        <v/>
      </c>
      <c r="F10" s="13" t="str">
        <f>IF($B10="","",IFERROR(INDEX(Pegawai!$C:$C,MATCH($B10,Pegawai!$A:$A,0)),""))</f>
        <v/>
      </c>
      <c r="G10" s="13" t="str">
        <f>IF($B10="","",IFERROR(INDEX(Pegawai!$D:$D,MATCH($B10,Pegawai!$A:$A,0)),""))</f>
        <v/>
      </c>
      <c r="H10" s="13" t="str">
        <f>IF($B10="","",IF(ISNA(MATCH($B10,Pegawai!$A:$A,0)),"Nama tidak ada di daftar Pegawai",IF($A10="","Nomor SPD belum diisi",IF($C10="","Tempat tujuan kosong",IF(NOT(ISNUMBER($D10)),"Tanggal kosong/bukan tanggal",IF(COUNTIF($B$2:$B$200,$B10)&gt;6,"OK",IF(COUNTIFS($B$2:$B$200,$B10,$A$2:$A$200,"&lt;&gt;"&amp;$A10)&gt;0,"Nomor SPD berbeda untuk pegawai yang sama","OK")))))))</f>
        <v/>
      </c>
      <c r="I10" s="13" t="str">
        <f>IF($A10="","",IF(ISNUMBER(SEARCH("/",$A10)),$A10,IF(Kegiatan!$B$3="","(isi Tanggal dikeluarkan)",$A10&amp;"/"&amp;Kegiatan!$B$15&amp;"/"&amp;ROMAN(MONTH(Kegiatan!$B$3))&amp;"/"&amp;YEAR(Kegiatan!$B$3))))</f>
        <v/>
      </c>
    </row>
    <row r="11" spans="1:9" x14ac:dyDescent="0.3">
      <c r="A11" s="8">
        <v>2311</v>
      </c>
      <c r="B11" s="8" t="s">
        <v>60</v>
      </c>
      <c r="C11" s="8" t="s">
        <v>116</v>
      </c>
      <c r="D11" s="12">
        <v>46247</v>
      </c>
      <c r="E11" s="13" t="str">
        <f>IF($B11="","",IFERROR(INDEX(Pegawai!$B:$B,MATCH($B11,Pegawai!$A:$A,0)),""))</f>
        <v/>
      </c>
      <c r="F11" s="13" t="str">
        <f>IF($B11="","",IFERROR(INDEX(Pegawai!$C:$C,MATCH($B11,Pegawai!$A:$A,0)),""))</f>
        <v/>
      </c>
      <c r="G11" s="13" t="str">
        <f>IF($B11="","",IFERROR(INDEX(Pegawai!$D:$D,MATCH($B11,Pegawai!$A:$A,0)),""))</f>
        <v/>
      </c>
      <c r="H11" s="13" t="str">
        <f>IF($B11="","",IF(ISNA(MATCH($B11,Pegawai!$A:$A,0)),"Nama tidak ada di daftar Pegawai",IF($A11="","Nomor SPD belum diisi",IF($C11="","Tempat tujuan kosong",IF(NOT(ISNUMBER($D11)),"Tanggal kosong/bukan tanggal",IF(COUNTIF($B$2:$B$200,$B11)&gt;6,"OK",IF(COUNTIFS($B$2:$B$200,$B11,$A$2:$A$200,"&lt;&gt;"&amp;$A11)&gt;0,"Nomor SPD berbeda untuk pegawai yang sama","OK")))))))</f>
        <v/>
      </c>
      <c r="I11" s="13" t="str">
        <f>IF($A11="","",IF(ISNUMBER(SEARCH("/",$A11)),$A11,IF(Kegiatan!$B$3="","(isi Tanggal dikeluarkan)",$A11&amp;"/"&amp;Kegiatan!$B$15&amp;"/"&amp;ROMAN(MONTH(Kegiatan!$B$3))&amp;"/"&amp;YEAR(Kegiatan!$B$3))))</f>
        <v/>
      </c>
    </row>
    <row r="12" spans="1:9" x14ac:dyDescent="0.3">
      <c r="A12" s="8">
        <v>2312</v>
      </c>
      <c r="B12" s="8" t="s">
        <v>64</v>
      </c>
      <c r="C12" s="8" t="s">
        <v>117</v>
      </c>
      <c r="D12" s="12">
        <v>46247</v>
      </c>
      <c r="E12" s="13" t="str">
        <f>IF($B12="","",IFERROR(INDEX(Pegawai!$B:$B,MATCH($B12,Pegawai!$A:$A,0)),""))</f>
        <v/>
      </c>
      <c r="F12" s="13" t="str">
        <f>IF($B12="","",IFERROR(INDEX(Pegawai!$C:$C,MATCH($B12,Pegawai!$A:$A,0)),""))</f>
        <v/>
      </c>
      <c r="G12" s="13" t="str">
        <f>IF($B12="","",IFERROR(INDEX(Pegawai!$D:$D,MATCH($B12,Pegawai!$A:$A,0)),""))</f>
        <v/>
      </c>
      <c r="H12" s="13" t="str">
        <f>IF($B12="","",IF(ISNA(MATCH($B12,Pegawai!$A:$A,0)),"Nama tidak ada di daftar Pegawai",IF($A12="","Nomor SPD belum diisi",IF($C12="","Tempat tujuan kosong",IF(NOT(ISNUMBER($D12)),"Tanggal kosong/bukan tanggal",IF(COUNTIF($B$2:$B$200,$B12)&gt;6,"OK",IF(COUNTIFS($B$2:$B$200,$B12,$A$2:$A$200,"&lt;&gt;"&amp;$A12)&gt;0,"Nomor SPD berbeda untuk pegawai yang sama","OK")))))))</f>
        <v/>
      </c>
      <c r="I12" s="13" t="str">
        <f>IF($A12="","",IF(ISNUMBER(SEARCH("/",$A12)),$A12,IF(Kegiatan!$B$3="","(isi Tanggal dikeluarkan)",$A12&amp;"/"&amp;Kegiatan!$B$15&amp;"/"&amp;ROMAN(MONTH(Kegiatan!$B$3))&amp;"/"&amp;YEAR(Kegiatan!$B$3))))</f>
        <v/>
      </c>
    </row>
    <row r="13" spans="1:9" x14ac:dyDescent="0.3">
      <c r="A13" s="8">
        <v>2312</v>
      </c>
      <c r="B13" s="8" t="s">
        <v>64</v>
      </c>
      <c r="C13" s="8" t="s">
        <v>118</v>
      </c>
      <c r="D13" s="12">
        <v>46248</v>
      </c>
      <c r="E13" s="13" t="str">
        <f>IF($B13="","",IFERROR(INDEX(Pegawai!$B:$B,MATCH($B13,Pegawai!$A:$A,0)),""))</f>
        <v/>
      </c>
      <c r="F13" s="13" t="str">
        <f>IF($B13="","",IFERROR(INDEX(Pegawai!$C:$C,MATCH($B13,Pegawai!$A:$A,0)),""))</f>
        <v/>
      </c>
      <c r="G13" s="13" t="str">
        <f>IF($B13="","",IFERROR(INDEX(Pegawai!$D:$D,MATCH($B13,Pegawai!$A:$A,0)),""))</f>
        <v/>
      </c>
      <c r="H13" s="13" t="str">
        <f>IF($B13="","",IF(ISNA(MATCH($B13,Pegawai!$A:$A,0)),"Nama tidak ada di daftar Pegawai",IF($A13="","Nomor SPD belum diisi",IF($C13="","Tempat tujuan kosong",IF(NOT(ISNUMBER($D13)),"Tanggal kosong/bukan tanggal",IF(COUNTIF($B$2:$B$200,$B13)&gt;6,"OK",IF(COUNTIFS($B$2:$B$200,$B13,$A$2:$A$200,"&lt;&gt;"&amp;$A13)&gt;0,"Nomor SPD berbeda untuk pegawai yang sama","OK")))))))</f>
        <v/>
      </c>
      <c r="I13" s="13" t="str">
        <f>IF($A13="","",IF(ISNUMBER(SEARCH("/",$A13)),$A13,IF(Kegiatan!$B$3="","(isi Tanggal dikeluarkan)",$A13&amp;"/"&amp;Kegiatan!$B$15&amp;"/"&amp;ROMAN(MONTH(Kegiatan!$B$3))&amp;"/"&amp;YEAR(Kegiatan!$B$3))))</f>
        <v/>
      </c>
    </row>
    <row r="14" spans="1:9" x14ac:dyDescent="0.3">
      <c r="A14" s="8">
        <v>2312</v>
      </c>
      <c r="B14" s="8" t="s">
        <v>64</v>
      </c>
      <c r="C14" s="8" t="s">
        <v>119</v>
      </c>
      <c r="D14" s="12">
        <v>46249</v>
      </c>
      <c r="E14" s="13" t="str">
        <f>IF($B14="","",IFERROR(INDEX(Pegawai!$B:$B,MATCH($B14,Pegawai!$A:$A,0)),""))</f>
        <v/>
      </c>
      <c r="F14" s="13" t="str">
        <f>IF($B14="","",IFERROR(INDEX(Pegawai!$C:$C,MATCH($B14,Pegawai!$A:$A,0)),""))</f>
        <v/>
      </c>
      <c r="G14" s="13" t="str">
        <f>IF($B14="","",IFERROR(INDEX(Pegawai!$D:$D,MATCH($B14,Pegawai!$A:$A,0)),""))</f>
        <v/>
      </c>
      <c r="H14" s="13" t="str">
        <f>IF($B14="","",IF(ISNA(MATCH($B14,Pegawai!$A:$A,0)),"Nama tidak ada di daftar Pegawai",IF($A14="","Nomor SPD belum diisi",IF($C14="","Tempat tujuan kosong",IF(NOT(ISNUMBER($D14)),"Tanggal kosong/bukan tanggal",IF(COUNTIF($B$2:$B$200,$B14)&gt;6,"OK",IF(COUNTIFS($B$2:$B$200,$B14,$A$2:$A$200,"&lt;&gt;"&amp;$A14)&gt;0,"Nomor SPD berbeda untuk pegawai yang sama","OK")))))))</f>
        <v/>
      </c>
      <c r="I14" s="13" t="str">
        <f>IF($A14="","",IF(ISNUMBER(SEARCH("/",$A14)),$A14,IF(Kegiatan!$B$3="","(isi Tanggal dikeluarkan)",$A14&amp;"/"&amp;Kegiatan!$B$15&amp;"/"&amp;ROMAN(MONTH(Kegiatan!$B$3))&amp;"/"&amp;YEAR(Kegiatan!$B$3))))</f>
        <v/>
      </c>
    </row>
    <row r="15" spans="1:9" x14ac:dyDescent="0.3">
      <c r="A15" s="8">
        <v>2312</v>
      </c>
      <c r="B15" s="8" t="s">
        <v>64</v>
      </c>
      <c r="C15" s="8" t="s">
        <v>120</v>
      </c>
      <c r="D15" s="12">
        <v>46252</v>
      </c>
      <c r="E15" s="13" t="str">
        <f>IF($B15="","",IFERROR(INDEX(Pegawai!$B:$B,MATCH($B15,Pegawai!$A:$A,0)),""))</f>
        <v/>
      </c>
      <c r="F15" s="13" t="str">
        <f>IF($B15="","",IFERROR(INDEX(Pegawai!$C:$C,MATCH($B15,Pegawai!$A:$A,0)),""))</f>
        <v/>
      </c>
      <c r="G15" s="13" t="str">
        <f>IF($B15="","",IFERROR(INDEX(Pegawai!$D:$D,MATCH($B15,Pegawai!$A:$A,0)),""))</f>
        <v/>
      </c>
      <c r="H15" s="13" t="str">
        <f>IF($B15="","",IF(ISNA(MATCH($B15,Pegawai!$A:$A,0)),"Nama tidak ada di daftar Pegawai",IF($A15="","Nomor SPD belum diisi",IF($C15="","Tempat tujuan kosong",IF(NOT(ISNUMBER($D15)),"Tanggal kosong/bukan tanggal",IF(COUNTIF($B$2:$B$200,$B15)&gt;6,"OK",IF(COUNTIFS($B$2:$B$200,$B15,$A$2:$A$200,"&lt;&gt;"&amp;$A15)&gt;0,"Nomor SPD berbeda untuk pegawai yang sama","OK")))))))</f>
        <v/>
      </c>
      <c r="I15" s="13" t="str">
        <f>IF($A15="","",IF(ISNUMBER(SEARCH("/",$A15)),$A15,IF(Kegiatan!$B$3="","(isi Tanggal dikeluarkan)",$A15&amp;"/"&amp;Kegiatan!$B$15&amp;"/"&amp;ROMAN(MONTH(Kegiatan!$B$3))&amp;"/"&amp;YEAR(Kegiatan!$B$3))))</f>
        <v/>
      </c>
    </row>
    <row r="16" spans="1:9" x14ac:dyDescent="0.3">
      <c r="A16" s="8">
        <v>2313</v>
      </c>
      <c r="B16" s="8" t="s">
        <v>68</v>
      </c>
      <c r="C16" s="8" t="s">
        <v>107</v>
      </c>
      <c r="D16" s="12">
        <v>46235</v>
      </c>
      <c r="E16" s="13" t="str">
        <f>IF($B16="","",IFERROR(INDEX(Pegawai!$B:$B,MATCH($B16,Pegawai!$A:$A,0)),""))</f>
        <v/>
      </c>
      <c r="F16" s="13" t="str">
        <f>IF($B16="","",IFERROR(INDEX(Pegawai!$C:$C,MATCH($B16,Pegawai!$A:$A,0)),""))</f>
        <v/>
      </c>
      <c r="G16" s="13" t="str">
        <f>IF($B16="","",IFERROR(INDEX(Pegawai!$D:$D,MATCH($B16,Pegawai!$A:$A,0)),""))</f>
        <v/>
      </c>
      <c r="H16" s="13" t="str">
        <f>IF($B16="","",IF(ISNA(MATCH($B16,Pegawai!$A:$A,0)),"Nama tidak ada di daftar Pegawai",IF($A16="","Nomor SPD belum diisi",IF($C16="","Tempat tujuan kosong",IF(NOT(ISNUMBER($D16)),"Tanggal kosong/bukan tanggal",IF(COUNTIF($B$2:$B$200,$B16)&gt;6,"OK",IF(COUNTIFS($B$2:$B$200,$B16,$A$2:$A$200,"&lt;&gt;"&amp;$A16)&gt;0,"Nomor SPD berbeda untuk pegawai yang sama","OK")))))))</f>
        <v/>
      </c>
      <c r="I16" s="13" t="str">
        <f>IF($A16="","",IF(ISNUMBER(SEARCH("/",$A16)),$A16,IF(Kegiatan!$B$3="","(isi Tanggal dikeluarkan)",$A16&amp;"/"&amp;Kegiatan!$B$15&amp;"/"&amp;ROMAN(MONTH(Kegiatan!$B$3))&amp;"/"&amp;YEAR(Kegiatan!$B$3))))</f>
        <v/>
      </c>
    </row>
    <row r="17" spans="1:9" x14ac:dyDescent="0.3">
      <c r="A17" s="8">
        <v>2313</v>
      </c>
      <c r="B17" s="8" t="s">
        <v>68</v>
      </c>
      <c r="C17" s="8" t="s">
        <v>111</v>
      </c>
      <c r="D17" s="12">
        <v>46239</v>
      </c>
      <c r="E17" s="13" t="str">
        <f>IF($B17="","",IFERROR(INDEX(Pegawai!$B:$B,MATCH($B17,Pegawai!$A:$A,0)),""))</f>
        <v/>
      </c>
      <c r="F17" s="13" t="str">
        <f>IF($B17="","",IFERROR(INDEX(Pegawai!$C:$C,MATCH($B17,Pegawai!$A:$A,0)),""))</f>
        <v/>
      </c>
      <c r="G17" s="13" t="str">
        <f>IF($B17="","",IFERROR(INDEX(Pegawai!$D:$D,MATCH($B17,Pegawai!$A:$A,0)),""))</f>
        <v/>
      </c>
      <c r="H17" s="13" t="str">
        <f>IF($B17="","",IF(ISNA(MATCH($B17,Pegawai!$A:$A,0)),"Nama tidak ada di daftar Pegawai",IF($A17="","Nomor SPD belum diisi",IF($C17="","Tempat tujuan kosong",IF(NOT(ISNUMBER($D17)),"Tanggal kosong/bukan tanggal",IF(COUNTIF($B$2:$B$200,$B17)&gt;6,"OK",IF(COUNTIFS($B$2:$B$200,$B17,$A$2:$A$200,"&lt;&gt;"&amp;$A17)&gt;0,"Nomor SPD berbeda untuk pegawai yang sama","OK")))))))</f>
        <v/>
      </c>
      <c r="I17" s="13" t="str">
        <f>IF($A17="","",IF(ISNUMBER(SEARCH("/",$A17)),$A17,IF(Kegiatan!$B$3="","(isi Tanggal dikeluarkan)",$A17&amp;"/"&amp;Kegiatan!$B$15&amp;"/"&amp;ROMAN(MONTH(Kegiatan!$B$3))&amp;"/"&amp;YEAR(Kegiatan!$B$3))))</f>
        <v/>
      </c>
    </row>
    <row r="18" spans="1:9" x14ac:dyDescent="0.3">
      <c r="A18" s="8">
        <v>2313</v>
      </c>
      <c r="B18" s="8" t="s">
        <v>68</v>
      </c>
      <c r="C18" s="8" t="s">
        <v>117</v>
      </c>
      <c r="D18" s="12">
        <v>46247</v>
      </c>
      <c r="E18" s="13" t="str">
        <f>IF($B18="","",IFERROR(INDEX(Pegawai!$B:$B,MATCH($B18,Pegawai!$A:$A,0)),""))</f>
        <v/>
      </c>
      <c r="F18" s="13" t="str">
        <f>IF($B18="","",IFERROR(INDEX(Pegawai!$C:$C,MATCH($B18,Pegawai!$A:$A,0)),""))</f>
        <v/>
      </c>
      <c r="G18" s="13" t="str">
        <f>IF($B18="","",IFERROR(INDEX(Pegawai!$D:$D,MATCH($B18,Pegawai!$A:$A,0)),""))</f>
        <v/>
      </c>
      <c r="H18" s="13" t="str">
        <f>IF($B18="","",IF(ISNA(MATCH($B18,Pegawai!$A:$A,0)),"Nama tidak ada di daftar Pegawai",IF($A18="","Nomor SPD belum diisi",IF($C18="","Tempat tujuan kosong",IF(NOT(ISNUMBER($D18)),"Tanggal kosong/bukan tanggal",IF(COUNTIF($B$2:$B$200,$B18)&gt;6,"OK",IF(COUNTIFS($B$2:$B$200,$B18,$A$2:$A$200,"&lt;&gt;"&amp;$A18)&gt;0,"Nomor SPD berbeda untuk pegawai yang sama","OK")))))))</f>
        <v/>
      </c>
      <c r="I18" s="13" t="str">
        <f>IF($A18="","",IF(ISNUMBER(SEARCH("/",$A18)),$A18,IF(Kegiatan!$B$3="","(isi Tanggal dikeluarkan)",$A18&amp;"/"&amp;Kegiatan!$B$15&amp;"/"&amp;ROMAN(MONTH(Kegiatan!$B$3))&amp;"/"&amp;YEAR(Kegiatan!$B$3))))</f>
        <v/>
      </c>
    </row>
    <row r="19" spans="1:9" x14ac:dyDescent="0.3">
      <c r="A19" s="8">
        <v>2313</v>
      </c>
      <c r="B19" s="8" t="s">
        <v>68</v>
      </c>
      <c r="C19" s="8" t="s">
        <v>118</v>
      </c>
      <c r="D19" s="12">
        <v>46248</v>
      </c>
      <c r="E19" s="13" t="str">
        <f>IF($B19="","",IFERROR(INDEX(Pegawai!$B:$B,MATCH($B19,Pegawai!$A:$A,0)),""))</f>
        <v/>
      </c>
      <c r="F19" s="13" t="str">
        <f>IF($B19="","",IFERROR(INDEX(Pegawai!$C:$C,MATCH($B19,Pegawai!$A:$A,0)),""))</f>
        <v/>
      </c>
      <c r="G19" s="13" t="str">
        <f>IF($B19="","",IFERROR(INDEX(Pegawai!$D:$D,MATCH($B19,Pegawai!$A:$A,0)),""))</f>
        <v/>
      </c>
      <c r="H19" s="13" t="str">
        <f>IF($B19="","",IF(ISNA(MATCH($B19,Pegawai!$A:$A,0)),"Nama tidak ada di daftar Pegawai",IF($A19="","Nomor SPD belum diisi",IF($C19="","Tempat tujuan kosong",IF(NOT(ISNUMBER($D19)),"Tanggal kosong/bukan tanggal",IF(COUNTIF($B$2:$B$200,$B19)&gt;6,"OK",IF(COUNTIFS($B$2:$B$200,$B19,$A$2:$A$200,"&lt;&gt;"&amp;$A19)&gt;0,"Nomor SPD berbeda untuk pegawai yang sama","OK")))))))</f>
        <v/>
      </c>
      <c r="I19" s="13" t="str">
        <f>IF($A19="","",IF(ISNUMBER(SEARCH("/",$A19)),$A19,IF(Kegiatan!$B$3="","(isi Tanggal dikeluarkan)",$A19&amp;"/"&amp;Kegiatan!$B$15&amp;"/"&amp;ROMAN(MONTH(Kegiatan!$B$3))&amp;"/"&amp;YEAR(Kegiatan!$B$3))))</f>
        <v/>
      </c>
    </row>
    <row r="20" spans="1:9" x14ac:dyDescent="0.3">
      <c r="A20" s="8">
        <v>2313</v>
      </c>
      <c r="B20" s="8" t="s">
        <v>68</v>
      </c>
      <c r="C20" s="8" t="s">
        <v>120</v>
      </c>
      <c r="D20" s="12">
        <v>46252</v>
      </c>
      <c r="E20" s="13" t="str">
        <f>IF($B20="","",IFERROR(INDEX(Pegawai!$B:$B,MATCH($B20,Pegawai!$A:$A,0)),""))</f>
        <v/>
      </c>
      <c r="F20" s="13" t="str">
        <f>IF($B20="","",IFERROR(INDEX(Pegawai!$C:$C,MATCH($B20,Pegawai!$A:$A,0)),""))</f>
        <v/>
      </c>
      <c r="G20" s="13" t="str">
        <f>IF($B20="","",IFERROR(INDEX(Pegawai!$D:$D,MATCH($B20,Pegawai!$A:$A,0)),""))</f>
        <v/>
      </c>
      <c r="H20" s="13" t="str">
        <f>IF($B20="","",IF(ISNA(MATCH($B20,Pegawai!$A:$A,0)),"Nama tidak ada di daftar Pegawai",IF($A20="","Nomor SPD belum diisi",IF($C20="","Tempat tujuan kosong",IF(NOT(ISNUMBER($D20)),"Tanggal kosong/bukan tanggal",IF(COUNTIF($B$2:$B$200,$B20)&gt;6,"OK",IF(COUNTIFS($B$2:$B$200,$B20,$A$2:$A$200,"&lt;&gt;"&amp;$A20)&gt;0,"Nomor SPD berbeda untuk pegawai yang sama","OK")))))))</f>
        <v/>
      </c>
      <c r="I20" s="13" t="str">
        <f>IF($A20="","",IF(ISNUMBER(SEARCH("/",$A20)),$A20,IF(Kegiatan!$B$3="","(isi Tanggal dikeluarkan)",$A20&amp;"/"&amp;Kegiatan!$B$15&amp;"/"&amp;ROMAN(MONTH(Kegiatan!$B$3))&amp;"/"&amp;YEAR(Kegiatan!$B$3))))</f>
        <v/>
      </c>
    </row>
    <row r="21" spans="1:9" x14ac:dyDescent="0.3">
      <c r="A21" s="8">
        <v>2314</v>
      </c>
      <c r="B21" s="8" t="s">
        <v>72</v>
      </c>
      <c r="C21" s="8" t="s">
        <v>115</v>
      </c>
      <c r="D21" s="12">
        <v>46245</v>
      </c>
      <c r="E21" s="13" t="str">
        <f>IF($B21="","",IFERROR(INDEX(Pegawai!$B:$B,MATCH($B21,Pegawai!$A:$A,0)),""))</f>
        <v/>
      </c>
      <c r="F21" s="13" t="str">
        <f>IF($B21="","",IFERROR(INDEX(Pegawai!$C:$C,MATCH($B21,Pegawai!$A:$A,0)),""))</f>
        <v/>
      </c>
      <c r="G21" s="13" t="str">
        <f>IF($B21="","",IFERROR(INDEX(Pegawai!$D:$D,MATCH($B21,Pegawai!$A:$A,0)),""))</f>
        <v/>
      </c>
      <c r="H21" s="13" t="str">
        <f>IF($B21="","",IF(ISNA(MATCH($B21,Pegawai!$A:$A,0)),"Nama tidak ada di daftar Pegawai",IF($A21="","Nomor SPD belum diisi",IF($C21="","Tempat tujuan kosong",IF(NOT(ISNUMBER($D21)),"Tanggal kosong/bukan tanggal",IF(COUNTIF($B$2:$B$200,$B21)&gt;6,"OK",IF(COUNTIFS($B$2:$B$200,$B21,$A$2:$A$200,"&lt;&gt;"&amp;$A21)&gt;0,"Nomor SPD berbeda untuk pegawai yang sama","OK")))))))</f>
        <v/>
      </c>
      <c r="I21" s="13" t="str">
        <f>IF($A21="","",IF(ISNUMBER(SEARCH("/",$A21)),$A21,IF(Kegiatan!$B$3="","(isi Tanggal dikeluarkan)",$A21&amp;"/"&amp;Kegiatan!$B$15&amp;"/"&amp;ROMAN(MONTH(Kegiatan!$B$3))&amp;"/"&amp;YEAR(Kegiatan!$B$3))))</f>
        <v/>
      </c>
    </row>
    <row r="22" spans="1:9" x14ac:dyDescent="0.3">
      <c r="A22" s="8">
        <v>2314</v>
      </c>
      <c r="B22" s="8" t="s">
        <v>72</v>
      </c>
      <c r="C22" s="8" t="s">
        <v>110</v>
      </c>
      <c r="D22" s="12">
        <v>46249</v>
      </c>
      <c r="E22" s="13" t="str">
        <f>IF($B22="","",IFERROR(INDEX(Pegawai!$B:$B,MATCH($B22,Pegawai!$A:$A,0)),""))</f>
        <v/>
      </c>
      <c r="F22" s="13" t="str">
        <f>IF($B22="","",IFERROR(INDEX(Pegawai!$C:$C,MATCH($B22,Pegawai!$A:$A,0)),""))</f>
        <v/>
      </c>
      <c r="G22" s="13" t="str">
        <f>IF($B22="","",IFERROR(INDEX(Pegawai!$D:$D,MATCH($B22,Pegawai!$A:$A,0)),""))</f>
        <v/>
      </c>
      <c r="H22" s="13" t="str">
        <f>IF($B22="","",IF(ISNA(MATCH($B22,Pegawai!$A:$A,0)),"Nama tidak ada di daftar Pegawai",IF($A22="","Nomor SPD belum diisi",IF($C22="","Tempat tujuan kosong",IF(NOT(ISNUMBER($D22)),"Tanggal kosong/bukan tanggal",IF(COUNTIF($B$2:$B$200,$B22)&gt;6,"OK",IF(COUNTIFS($B$2:$B$200,$B22,$A$2:$A$200,"&lt;&gt;"&amp;$A22)&gt;0,"Nomor SPD berbeda untuk pegawai yang sama","OK")))))))</f>
        <v/>
      </c>
      <c r="I22" s="13" t="str">
        <f>IF($A22="","",IF(ISNUMBER(SEARCH("/",$A22)),$A22,IF(Kegiatan!$B$3="","(isi Tanggal dikeluarkan)",$A22&amp;"/"&amp;Kegiatan!$B$15&amp;"/"&amp;ROMAN(MONTH(Kegiatan!$B$3))&amp;"/"&amp;YEAR(Kegiatan!$B$3))))</f>
        <v/>
      </c>
    </row>
    <row r="23" spans="1:9" x14ac:dyDescent="0.3">
      <c r="A23" s="8">
        <v>2315</v>
      </c>
      <c r="B23" s="8" t="s">
        <v>76</v>
      </c>
      <c r="C23" s="8" t="s">
        <v>121</v>
      </c>
      <c r="D23" s="12">
        <v>46242</v>
      </c>
      <c r="E23" s="13" t="str">
        <f>IF($B23="","",IFERROR(INDEX(Pegawai!$B:$B,MATCH($B23,Pegawai!$A:$A,0)),""))</f>
        <v/>
      </c>
      <c r="F23" s="13" t="str">
        <f>IF($B23="","",IFERROR(INDEX(Pegawai!$C:$C,MATCH($B23,Pegawai!$A:$A,0)),""))</f>
        <v/>
      </c>
      <c r="G23" s="13" t="str">
        <f>IF($B23="","",IFERROR(INDEX(Pegawai!$D:$D,MATCH($B23,Pegawai!$A:$A,0)),""))</f>
        <v/>
      </c>
      <c r="H23" s="13" t="str">
        <f>IF($B23="","",IF(ISNA(MATCH($B23,Pegawai!$A:$A,0)),"Nama tidak ada di daftar Pegawai",IF($A23="","Nomor SPD belum diisi",IF($C23="","Tempat tujuan kosong",IF(NOT(ISNUMBER($D23)),"Tanggal kosong/bukan tanggal",IF(COUNTIF($B$2:$B$200,$B23)&gt;6,"OK",IF(COUNTIFS($B$2:$B$200,$B23,$A$2:$A$200,"&lt;&gt;"&amp;$A23)&gt;0,"Nomor SPD berbeda untuk pegawai yang sama","OK")))))))</f>
        <v/>
      </c>
      <c r="I23" s="13" t="str">
        <f>IF($A23="","",IF(ISNUMBER(SEARCH("/",$A23)),$A23,IF(Kegiatan!$B$3="","(isi Tanggal dikeluarkan)",$A23&amp;"/"&amp;Kegiatan!$B$15&amp;"/"&amp;ROMAN(MONTH(Kegiatan!$B$3))&amp;"/"&amp;YEAR(Kegiatan!$B$3))))</f>
        <v/>
      </c>
    </row>
    <row r="24" spans="1:9" x14ac:dyDescent="0.3">
      <c r="A24" s="8">
        <v>2315</v>
      </c>
      <c r="B24" s="8" t="s">
        <v>76</v>
      </c>
      <c r="C24" s="8" t="s">
        <v>119</v>
      </c>
      <c r="D24" s="12">
        <v>46249</v>
      </c>
      <c r="E24" s="13" t="str">
        <f>IF($B24="","",IFERROR(INDEX(Pegawai!$B:$B,MATCH($B24,Pegawai!$A:$A,0)),""))</f>
        <v/>
      </c>
      <c r="F24" s="13" t="str">
        <f>IF($B24="","",IFERROR(INDEX(Pegawai!$C:$C,MATCH($B24,Pegawai!$A:$A,0)),""))</f>
        <v/>
      </c>
      <c r="G24" s="13" t="str">
        <f>IF($B24="","",IFERROR(INDEX(Pegawai!$D:$D,MATCH($B24,Pegawai!$A:$A,0)),""))</f>
        <v/>
      </c>
      <c r="H24" s="13" t="str">
        <f>IF($B24="","",IF(ISNA(MATCH($B24,Pegawai!$A:$A,0)),"Nama tidak ada di daftar Pegawai",IF($A24="","Nomor SPD belum diisi",IF($C24="","Tempat tujuan kosong",IF(NOT(ISNUMBER($D24)),"Tanggal kosong/bukan tanggal",IF(COUNTIF($B$2:$B$200,$B24)&gt;6,"OK",IF(COUNTIFS($B$2:$B$200,$B24,$A$2:$A$200,"&lt;&gt;"&amp;$A24)&gt;0,"Nomor SPD berbeda untuk pegawai yang sama","OK")))))))</f>
        <v/>
      </c>
      <c r="I24" s="13" t="str">
        <f>IF($A24="","",IF(ISNUMBER(SEARCH("/",$A24)),$A24,IF(Kegiatan!$B$3="","(isi Tanggal dikeluarkan)",$A24&amp;"/"&amp;Kegiatan!$B$15&amp;"/"&amp;ROMAN(MONTH(Kegiatan!$B$3))&amp;"/"&amp;YEAR(Kegiatan!$B$3))))</f>
        <v/>
      </c>
    </row>
    <row r="25" spans="1:9" x14ac:dyDescent="0.3">
      <c r="A25" s="8">
        <v>2316</v>
      </c>
      <c r="B25" s="8" t="s">
        <v>80</v>
      </c>
      <c r="C25" s="8" t="s">
        <v>122</v>
      </c>
      <c r="D25" s="12">
        <v>46244</v>
      </c>
      <c r="E25" s="13" t="str">
        <f>IF($B25="","",IFERROR(INDEX(Pegawai!$B:$B,MATCH($B25,Pegawai!$A:$A,0)),""))</f>
        <v/>
      </c>
      <c r="F25" s="13" t="str">
        <f>IF($B25="","",IFERROR(INDEX(Pegawai!$C:$C,MATCH($B25,Pegawai!$A:$A,0)),""))</f>
        <v/>
      </c>
      <c r="G25" s="13" t="str">
        <f>IF($B25="","",IFERROR(INDEX(Pegawai!$D:$D,MATCH($B25,Pegawai!$A:$A,0)),""))</f>
        <v/>
      </c>
      <c r="H25" s="13" t="str">
        <f>IF($B25="","",IF(ISNA(MATCH($B25,Pegawai!$A:$A,0)),"Nama tidak ada di daftar Pegawai",IF($A25="","Nomor SPD belum diisi",IF($C25="","Tempat tujuan kosong",IF(NOT(ISNUMBER($D25)),"Tanggal kosong/bukan tanggal",IF(COUNTIF($B$2:$B$200,$B25)&gt;6,"OK",IF(COUNTIFS($B$2:$B$200,$B25,$A$2:$A$200,"&lt;&gt;"&amp;$A25)&gt;0,"Nomor SPD berbeda untuk pegawai yang sama","OK")))))))</f>
        <v/>
      </c>
      <c r="I25" s="13" t="str">
        <f>IF($A25="","",IF(ISNUMBER(SEARCH("/",$A25)),$A25,IF(Kegiatan!$B$3="","(isi Tanggal dikeluarkan)",$A25&amp;"/"&amp;Kegiatan!$B$15&amp;"/"&amp;ROMAN(MONTH(Kegiatan!$B$3))&amp;"/"&amp;YEAR(Kegiatan!$B$3))))</f>
        <v/>
      </c>
    </row>
    <row r="26" spans="1:9" x14ac:dyDescent="0.3">
      <c r="A26" s="8">
        <v>2316</v>
      </c>
      <c r="B26" s="8" t="s">
        <v>80</v>
      </c>
      <c r="C26" s="8" t="s">
        <v>123</v>
      </c>
      <c r="D26" s="12">
        <v>46246</v>
      </c>
      <c r="E26" s="13" t="str">
        <f>IF($B26="","",IFERROR(INDEX(Pegawai!$B:$B,MATCH($B26,Pegawai!$A:$A,0)),""))</f>
        <v/>
      </c>
      <c r="F26" s="13" t="str">
        <f>IF($B26="","",IFERROR(INDEX(Pegawai!$C:$C,MATCH($B26,Pegawai!$A:$A,0)),""))</f>
        <v/>
      </c>
      <c r="G26" s="13" t="str">
        <f>IF($B26="","",IFERROR(INDEX(Pegawai!$D:$D,MATCH($B26,Pegawai!$A:$A,0)),""))</f>
        <v/>
      </c>
      <c r="H26" s="13" t="str">
        <f>IF($B26="","",IF(ISNA(MATCH($B26,Pegawai!$A:$A,0)),"Nama tidak ada di daftar Pegawai",IF($A26="","Nomor SPD belum diisi",IF($C26="","Tempat tujuan kosong",IF(NOT(ISNUMBER($D26)),"Tanggal kosong/bukan tanggal",IF(COUNTIF($B$2:$B$200,$B26)&gt;6,"OK",IF(COUNTIFS($B$2:$B$200,$B26,$A$2:$A$200,"&lt;&gt;"&amp;$A26)&gt;0,"Nomor SPD berbeda untuk pegawai yang sama","OK")))))))</f>
        <v/>
      </c>
      <c r="I26" s="13" t="str">
        <f>IF($A26="","",IF(ISNUMBER(SEARCH("/",$A26)),$A26,IF(Kegiatan!$B$3="","(isi Tanggal dikeluarkan)",$A26&amp;"/"&amp;Kegiatan!$B$15&amp;"/"&amp;ROMAN(MONTH(Kegiatan!$B$3))&amp;"/"&amp;YEAR(Kegiatan!$B$3))))</f>
        <v/>
      </c>
    </row>
    <row r="27" spans="1:9" x14ac:dyDescent="0.3">
      <c r="A27" s="8">
        <v>2317</v>
      </c>
      <c r="B27" s="8" t="s">
        <v>83</v>
      </c>
      <c r="C27" s="8" t="s">
        <v>109</v>
      </c>
      <c r="D27" s="12">
        <v>46240</v>
      </c>
      <c r="E27" s="13" t="str">
        <f>IF($B27="","",IFERROR(INDEX(Pegawai!$B:$B,MATCH($B27,Pegawai!$A:$A,0)),""))</f>
        <v/>
      </c>
      <c r="F27" s="13" t="str">
        <f>IF($B27="","",IFERROR(INDEX(Pegawai!$C:$C,MATCH($B27,Pegawai!$A:$A,0)),""))</f>
        <v/>
      </c>
      <c r="G27" s="13" t="str">
        <f>IF($B27="","",IFERROR(INDEX(Pegawai!$D:$D,MATCH($B27,Pegawai!$A:$A,0)),""))</f>
        <v/>
      </c>
      <c r="H27" s="13" t="str">
        <f>IF($B27="","",IF(ISNA(MATCH($B27,Pegawai!$A:$A,0)),"Nama tidak ada di daftar Pegawai",IF($A27="","Nomor SPD belum diisi",IF($C27="","Tempat tujuan kosong",IF(NOT(ISNUMBER($D27)),"Tanggal kosong/bukan tanggal",IF(COUNTIF($B$2:$B$200,$B27)&gt;6,"OK",IF(COUNTIFS($B$2:$B$200,$B27,$A$2:$A$200,"&lt;&gt;"&amp;$A27)&gt;0,"Nomor SPD berbeda untuk pegawai yang sama","OK")))))))</f>
        <v/>
      </c>
      <c r="I27" s="13" t="str">
        <f>IF($A27="","",IF(ISNUMBER(SEARCH("/",$A27)),$A27,IF(Kegiatan!$B$3="","(isi Tanggal dikeluarkan)",$A27&amp;"/"&amp;Kegiatan!$B$15&amp;"/"&amp;ROMAN(MONTH(Kegiatan!$B$3))&amp;"/"&amp;YEAR(Kegiatan!$B$3))))</f>
        <v/>
      </c>
    </row>
    <row r="28" spans="1:9" x14ac:dyDescent="0.3">
      <c r="A28" s="8">
        <v>2318</v>
      </c>
      <c r="B28" s="8" t="s">
        <v>85</v>
      </c>
      <c r="C28" s="8" t="s">
        <v>114</v>
      </c>
      <c r="D28" s="12">
        <v>46244</v>
      </c>
      <c r="E28" s="13" t="str">
        <f>IF($B28="","",IFERROR(INDEX(Pegawai!$B:$B,MATCH($B28,Pegawai!$A:$A,0)),""))</f>
        <v/>
      </c>
      <c r="F28" s="13" t="str">
        <f>IF($B28="","",IFERROR(INDEX(Pegawai!$C:$C,MATCH($B28,Pegawai!$A:$A,0)),""))</f>
        <v/>
      </c>
      <c r="G28" s="13" t="str">
        <f>IF($B28="","",IFERROR(INDEX(Pegawai!$D:$D,MATCH($B28,Pegawai!$A:$A,0)),""))</f>
        <v/>
      </c>
      <c r="H28" s="13" t="str">
        <f>IF($B28="","",IF(ISNA(MATCH($B28,Pegawai!$A:$A,0)),"Nama tidak ada di daftar Pegawai",IF($A28="","Nomor SPD belum diisi",IF($C28="","Tempat tujuan kosong",IF(NOT(ISNUMBER($D28)),"Tanggal kosong/bukan tanggal",IF(COUNTIF($B$2:$B$200,$B28)&gt;6,"OK",IF(COUNTIFS($B$2:$B$200,$B28,$A$2:$A$200,"&lt;&gt;"&amp;$A28)&gt;0,"Nomor SPD berbeda untuk pegawai yang sama","OK")))))))</f>
        <v/>
      </c>
      <c r="I28" s="13" t="str">
        <f>IF($A28="","",IF(ISNUMBER(SEARCH("/",$A28)),$A28,IF(Kegiatan!$B$3="","(isi Tanggal dikeluarkan)",$A28&amp;"/"&amp;Kegiatan!$B$15&amp;"/"&amp;ROMAN(MONTH(Kegiatan!$B$3))&amp;"/"&amp;YEAR(Kegiatan!$B$3))))</f>
        <v/>
      </c>
    </row>
    <row r="29" spans="1:9" x14ac:dyDescent="0.3">
      <c r="A29" s="8">
        <v>2319</v>
      </c>
      <c r="B29" s="8" t="s">
        <v>87</v>
      </c>
      <c r="C29" s="8" t="s">
        <v>108</v>
      </c>
      <c r="D29" s="12">
        <v>46237</v>
      </c>
      <c r="E29" s="13" t="str">
        <f>IF($B29="","",IFERROR(INDEX(Pegawai!$B:$B,MATCH($B29,Pegawai!$A:$A,0)),""))</f>
        <v/>
      </c>
      <c r="F29" s="13" t="str">
        <f>IF($B29="","",IFERROR(INDEX(Pegawai!$C:$C,MATCH($B29,Pegawai!$A:$A,0)),""))</f>
        <v/>
      </c>
      <c r="G29" s="13" t="str">
        <f>IF($B29="","",IFERROR(INDEX(Pegawai!$D:$D,MATCH($B29,Pegawai!$A:$A,0)),""))</f>
        <v/>
      </c>
      <c r="H29" s="13" t="str">
        <f>IF($B29="","",IF(ISNA(MATCH($B29,Pegawai!$A:$A,0)),"Nama tidak ada di daftar Pegawai",IF($A29="","Nomor SPD belum diisi",IF($C29="","Tempat tujuan kosong",IF(NOT(ISNUMBER($D29)),"Tanggal kosong/bukan tanggal",IF(COUNTIF($B$2:$B$200,$B29)&gt;6,"OK",IF(COUNTIFS($B$2:$B$200,$B29,$A$2:$A$200,"&lt;&gt;"&amp;$A29)&gt;0,"Nomor SPD berbeda untuk pegawai yang sama","OK")))))))</f>
        <v/>
      </c>
      <c r="I29" s="13" t="str">
        <f>IF($A29="","",IF(ISNUMBER(SEARCH("/",$A29)),$A29,IF(Kegiatan!$B$3="","(isi Tanggal dikeluarkan)",$A29&amp;"/"&amp;Kegiatan!$B$15&amp;"/"&amp;ROMAN(MONTH(Kegiatan!$B$3))&amp;"/"&amp;YEAR(Kegiatan!$B$3))))</f>
        <v/>
      </c>
    </row>
    <row r="30" spans="1:9" x14ac:dyDescent="0.3">
      <c r="A30" s="8">
        <v>2320</v>
      </c>
      <c r="B30" s="8" t="s">
        <v>90</v>
      </c>
      <c r="C30" s="8" t="s">
        <v>112</v>
      </c>
      <c r="D30" s="12">
        <v>46240</v>
      </c>
      <c r="E30" s="13" t="str">
        <f>IF($B30="","",IFERROR(INDEX(Pegawai!$B:$B,MATCH($B30,Pegawai!$A:$A,0)),""))</f>
        <v/>
      </c>
      <c r="F30" s="13" t="str">
        <f>IF($B30="","",IFERROR(INDEX(Pegawai!$C:$C,MATCH($B30,Pegawai!$A:$A,0)),""))</f>
        <v/>
      </c>
      <c r="G30" s="13" t="str">
        <f>IF($B30="","",IFERROR(INDEX(Pegawai!$D:$D,MATCH($B30,Pegawai!$A:$A,0)),""))</f>
        <v/>
      </c>
      <c r="H30" s="13" t="str">
        <f>IF($B30="","",IF(ISNA(MATCH($B30,Pegawai!$A:$A,0)),"Nama tidak ada di daftar Pegawai",IF($A30="","Nomor SPD belum diisi",IF($C30="","Tempat tujuan kosong",IF(NOT(ISNUMBER($D30)),"Tanggal kosong/bukan tanggal",IF(COUNTIF($B$2:$B$200,$B30)&gt;6,"OK",IF(COUNTIFS($B$2:$B$200,$B30,$A$2:$A$200,"&lt;&gt;"&amp;$A30)&gt;0,"Nomor SPD berbeda untuk pegawai yang sama","OK")))))))</f>
        <v/>
      </c>
      <c r="I30" s="13" t="str">
        <f>IF($A30="","",IF(ISNUMBER(SEARCH("/",$A30)),$A30,IF(Kegiatan!$B$3="","(isi Tanggal dikeluarkan)",$A30&amp;"/"&amp;Kegiatan!$B$15&amp;"/"&amp;ROMAN(MONTH(Kegiatan!$B$3))&amp;"/"&amp;YEAR(Kegiatan!$B$3))))</f>
        <v/>
      </c>
    </row>
    <row r="31" spans="1:9" x14ac:dyDescent="0.3">
      <c r="A31" s="8">
        <v>2321</v>
      </c>
      <c r="B31" s="8" t="s">
        <v>92</v>
      </c>
      <c r="C31" s="8" t="s">
        <v>124</v>
      </c>
      <c r="D31" s="12">
        <v>46240</v>
      </c>
      <c r="E31" s="13" t="str">
        <f>IF($B31="","",IFERROR(INDEX(Pegawai!$B:$B,MATCH($B31,Pegawai!$A:$A,0)),""))</f>
        <v/>
      </c>
      <c r="F31" s="13" t="str">
        <f>IF($B31="","",IFERROR(INDEX(Pegawai!$C:$C,MATCH($B31,Pegawai!$A:$A,0)),""))</f>
        <v/>
      </c>
      <c r="G31" s="13" t="str">
        <f>IF($B31="","",IFERROR(INDEX(Pegawai!$D:$D,MATCH($B31,Pegawai!$A:$A,0)),""))</f>
        <v/>
      </c>
      <c r="H31" s="13" t="str">
        <f>IF($B31="","",IF(ISNA(MATCH($B31,Pegawai!$A:$A,0)),"Nama tidak ada di daftar Pegawai",IF($A31="","Nomor SPD belum diisi",IF($C31="","Tempat tujuan kosong",IF(NOT(ISNUMBER($D31)),"Tanggal kosong/bukan tanggal",IF(COUNTIF($B$2:$B$200,$B31)&gt;6,"OK",IF(COUNTIFS($B$2:$B$200,$B31,$A$2:$A$200,"&lt;&gt;"&amp;$A31)&gt;0,"Nomor SPD berbeda untuk pegawai yang sama","OK")))))))</f>
        <v/>
      </c>
      <c r="I31" s="13" t="str">
        <f>IF($A31="","",IF(ISNUMBER(SEARCH("/",$A31)),$A31,IF(Kegiatan!$B$3="","(isi Tanggal dikeluarkan)",$A31&amp;"/"&amp;Kegiatan!$B$15&amp;"/"&amp;ROMAN(MONTH(Kegiatan!$B$3))&amp;"/"&amp;YEAR(Kegiatan!$B$3))))</f>
        <v/>
      </c>
    </row>
    <row r="32" spans="1:9" x14ac:dyDescent="0.3">
      <c r="A32" s="8">
        <v>2321</v>
      </c>
      <c r="B32" s="8" t="s">
        <v>92</v>
      </c>
      <c r="C32" s="8" t="s">
        <v>113</v>
      </c>
      <c r="D32" s="12">
        <v>46241</v>
      </c>
      <c r="E32" s="13" t="str">
        <f>IF($B32="","",IFERROR(INDEX(Pegawai!$B:$B,MATCH($B32,Pegawai!$A:$A,0)),""))</f>
        <v/>
      </c>
      <c r="F32" s="13" t="str">
        <f>IF($B32="","",IFERROR(INDEX(Pegawai!$C:$C,MATCH($B32,Pegawai!$A:$A,0)),""))</f>
        <v/>
      </c>
      <c r="G32" s="13" t="str">
        <f>IF($B32="","",IFERROR(INDEX(Pegawai!$D:$D,MATCH($B32,Pegawai!$A:$A,0)),""))</f>
        <v/>
      </c>
      <c r="H32" s="13" t="str">
        <f>IF($B32="","",IF(ISNA(MATCH($B32,Pegawai!$A:$A,0)),"Nama tidak ada di daftar Pegawai",IF($A32="","Nomor SPD belum diisi",IF($C32="","Tempat tujuan kosong",IF(NOT(ISNUMBER($D32)),"Tanggal kosong/bukan tanggal",IF(COUNTIF($B$2:$B$200,$B32)&gt;6,"OK",IF(COUNTIFS($B$2:$B$200,$B32,$A$2:$A$200,"&lt;&gt;"&amp;$A32)&gt;0,"Nomor SPD berbeda untuk pegawai yang sama","OK")))))))</f>
        <v/>
      </c>
      <c r="I32" s="13" t="str">
        <f>IF($A32="","",IF(ISNUMBER(SEARCH("/",$A32)),$A32,IF(Kegiatan!$B$3="","(isi Tanggal dikeluarkan)",$A32&amp;"/"&amp;Kegiatan!$B$15&amp;"/"&amp;ROMAN(MONTH(Kegiatan!$B$3))&amp;"/"&amp;YEAR(Kegiatan!$B$3))))</f>
        <v/>
      </c>
    </row>
    <row r="33" spans="1:9" x14ac:dyDescent="0.3">
      <c r="A33" s="8">
        <v>2321</v>
      </c>
      <c r="B33" s="8" t="s">
        <v>92</v>
      </c>
      <c r="C33" s="8" t="s">
        <v>125</v>
      </c>
      <c r="D33" s="12">
        <v>46245</v>
      </c>
      <c r="E33" s="13" t="str">
        <f>IF($B33="","",IFERROR(INDEX(Pegawai!$B:$B,MATCH($B33,Pegawai!$A:$A,0)),""))</f>
        <v/>
      </c>
      <c r="F33" s="13" t="str">
        <f>IF($B33="","",IFERROR(INDEX(Pegawai!$C:$C,MATCH($B33,Pegawai!$A:$A,0)),""))</f>
        <v/>
      </c>
      <c r="G33" s="13" t="str">
        <f>IF($B33="","",IFERROR(INDEX(Pegawai!$D:$D,MATCH($B33,Pegawai!$A:$A,0)),""))</f>
        <v/>
      </c>
      <c r="H33" s="13" t="str">
        <f>IF($B33="","",IF(ISNA(MATCH($B33,Pegawai!$A:$A,0)),"Nama tidak ada di daftar Pegawai",IF($A33="","Nomor SPD belum diisi",IF($C33="","Tempat tujuan kosong",IF(NOT(ISNUMBER($D33)),"Tanggal kosong/bukan tanggal",IF(COUNTIF($B$2:$B$200,$B33)&gt;6,"OK",IF(COUNTIFS($B$2:$B$200,$B33,$A$2:$A$200,"&lt;&gt;"&amp;$A33)&gt;0,"Nomor SPD berbeda untuk pegawai yang sama","OK")))))))</f>
        <v/>
      </c>
      <c r="I33" s="13" t="str">
        <f>IF($A33="","",IF(ISNUMBER(SEARCH("/",$A33)),$A33,IF(Kegiatan!$B$3="","(isi Tanggal dikeluarkan)",$A33&amp;"/"&amp;Kegiatan!$B$15&amp;"/"&amp;ROMAN(MONTH(Kegiatan!$B$3))&amp;"/"&amp;YEAR(Kegiatan!$B$3))))</f>
        <v/>
      </c>
    </row>
    <row r="34" spans="1:9" x14ac:dyDescent="0.3">
      <c r="A34" s="8">
        <v>2322</v>
      </c>
      <c r="B34" s="8" t="s">
        <v>94</v>
      </c>
      <c r="C34" s="8" t="s">
        <v>126</v>
      </c>
      <c r="D34" s="12">
        <v>46249</v>
      </c>
      <c r="E34" s="13" t="str">
        <f>IF($B34="","",IFERROR(INDEX(Pegawai!$B:$B,MATCH($B34,Pegawai!$A:$A,0)),""))</f>
        <v/>
      </c>
      <c r="F34" s="13" t="str">
        <f>IF($B34="","",IFERROR(INDEX(Pegawai!$C:$C,MATCH($B34,Pegawai!$A:$A,0)),""))</f>
        <v/>
      </c>
      <c r="G34" s="13" t="str">
        <f>IF($B34="","",IFERROR(INDEX(Pegawai!$D:$D,MATCH($B34,Pegawai!$A:$A,0)),""))</f>
        <v/>
      </c>
      <c r="H34" s="13" t="str">
        <f>IF($B34="","",IF(ISNA(MATCH($B34,Pegawai!$A:$A,0)),"Nama tidak ada di daftar Pegawai",IF($A34="","Nomor SPD belum diisi",IF($C34="","Tempat tujuan kosong",IF(NOT(ISNUMBER($D34)),"Tanggal kosong/bukan tanggal",IF(COUNTIF($B$2:$B$200,$B34)&gt;6,"OK",IF(COUNTIFS($B$2:$B$200,$B34,$A$2:$A$200,"&lt;&gt;"&amp;$A34)&gt;0,"Nomor SPD berbeda untuk pegawai yang sama","OK")))))))</f>
        <v/>
      </c>
      <c r="I34" s="13" t="str">
        <f>IF($A34="","",IF(ISNUMBER(SEARCH("/",$A34)),$A34,IF(Kegiatan!$B$3="","(isi Tanggal dikeluarkan)",$A34&amp;"/"&amp;Kegiatan!$B$15&amp;"/"&amp;ROMAN(MONTH(Kegiatan!$B$3))&amp;"/"&amp;YEAR(Kegiatan!$B$3))))</f>
        <v/>
      </c>
    </row>
    <row r="35" spans="1:9" x14ac:dyDescent="0.3">
      <c r="A35" s="8">
        <v>2323</v>
      </c>
      <c r="B35" s="8" t="s">
        <v>96</v>
      </c>
      <c r="C35" s="8" t="s">
        <v>121</v>
      </c>
      <c r="D35" s="12">
        <v>46242</v>
      </c>
      <c r="E35" s="13" t="str">
        <f>IF($B35="","",IFERROR(INDEX(Pegawai!$B:$B,MATCH($B35,Pegawai!$A:$A,0)),""))</f>
        <v/>
      </c>
      <c r="F35" s="13" t="str">
        <f>IF($B35="","",IFERROR(INDEX(Pegawai!$C:$C,MATCH($B35,Pegawai!$A:$A,0)),""))</f>
        <v/>
      </c>
      <c r="G35" s="13" t="str">
        <f>IF($B35="","",IFERROR(INDEX(Pegawai!$D:$D,MATCH($B35,Pegawai!$A:$A,0)),""))</f>
        <v/>
      </c>
      <c r="H35" s="13" t="str">
        <f>IF($B35="","",IF(ISNA(MATCH($B35,Pegawai!$A:$A,0)),"Nama tidak ada di daftar Pegawai",IF($A35="","Nomor SPD belum diisi",IF($C35="","Tempat tujuan kosong",IF(NOT(ISNUMBER($D35)),"Tanggal kosong/bukan tanggal",IF(COUNTIF($B$2:$B$200,$B35)&gt;6,"OK",IF(COUNTIFS($B$2:$B$200,$B35,$A$2:$A$200,"&lt;&gt;"&amp;$A35)&gt;0,"Nomor SPD berbeda untuk pegawai yang sama","OK")))))))</f>
        <v/>
      </c>
      <c r="I35" s="13" t="str">
        <f>IF($A35="","",IF(ISNUMBER(SEARCH("/",$A35)),$A35,IF(Kegiatan!$B$3="","(isi Tanggal dikeluarkan)",$A35&amp;"/"&amp;Kegiatan!$B$15&amp;"/"&amp;ROMAN(MONTH(Kegiatan!$B$3))&amp;"/"&amp;YEAR(Kegiatan!$B$3))))</f>
        <v/>
      </c>
    </row>
    <row r="36" spans="1:9" x14ac:dyDescent="0.3">
      <c r="A36" s="8">
        <v>2323</v>
      </c>
      <c r="B36" s="8" t="s">
        <v>96</v>
      </c>
      <c r="C36" s="8" t="s">
        <v>122</v>
      </c>
      <c r="D36" s="12">
        <v>46244</v>
      </c>
      <c r="E36" s="13" t="str">
        <f>IF($B36="","",IFERROR(INDEX(Pegawai!$B:$B,MATCH($B36,Pegawai!$A:$A,0)),""))</f>
        <v/>
      </c>
      <c r="F36" s="13" t="str">
        <f>IF($B36="","",IFERROR(INDEX(Pegawai!$C:$C,MATCH($B36,Pegawai!$A:$A,0)),""))</f>
        <v/>
      </c>
      <c r="G36" s="13" t="str">
        <f>IF($B36="","",IFERROR(INDEX(Pegawai!$D:$D,MATCH($B36,Pegawai!$A:$A,0)),""))</f>
        <v/>
      </c>
      <c r="H36" s="13" t="str">
        <f>IF($B36="","",IF(ISNA(MATCH($B36,Pegawai!$A:$A,0)),"Nama tidak ada di daftar Pegawai",IF($A36="","Nomor SPD belum diisi",IF($C36="","Tempat tujuan kosong",IF(NOT(ISNUMBER($D36)),"Tanggal kosong/bukan tanggal",IF(COUNTIF($B$2:$B$200,$B36)&gt;6,"OK",IF(COUNTIFS($B$2:$B$200,$B36,$A$2:$A$200,"&lt;&gt;"&amp;$A36)&gt;0,"Nomor SPD berbeda untuk pegawai yang sama","OK")))))))</f>
        <v/>
      </c>
      <c r="I36" s="13" t="str">
        <f>IF($A36="","",IF(ISNUMBER(SEARCH("/",$A36)),$A36,IF(Kegiatan!$B$3="","(isi Tanggal dikeluarkan)",$A36&amp;"/"&amp;Kegiatan!$B$15&amp;"/"&amp;ROMAN(MONTH(Kegiatan!$B$3))&amp;"/"&amp;YEAR(Kegiatan!$B$3))))</f>
        <v/>
      </c>
    </row>
    <row r="37" spans="1:9" x14ac:dyDescent="0.3">
      <c r="A37" s="8">
        <v>2323</v>
      </c>
      <c r="B37" s="8" t="s">
        <v>96</v>
      </c>
      <c r="C37" s="8" t="s">
        <v>125</v>
      </c>
      <c r="D37" s="12">
        <v>46245</v>
      </c>
      <c r="E37" s="13" t="str">
        <f>IF($B37="","",IFERROR(INDEX(Pegawai!$B:$B,MATCH($B37,Pegawai!$A:$A,0)),""))</f>
        <v/>
      </c>
      <c r="F37" s="13" t="str">
        <f>IF($B37="","",IFERROR(INDEX(Pegawai!$C:$C,MATCH($B37,Pegawai!$A:$A,0)),""))</f>
        <v/>
      </c>
      <c r="G37" s="13" t="str">
        <f>IF($B37="","",IFERROR(INDEX(Pegawai!$D:$D,MATCH($B37,Pegawai!$A:$A,0)),""))</f>
        <v/>
      </c>
      <c r="H37" s="13" t="str">
        <f>IF($B37="","",IF(ISNA(MATCH($B37,Pegawai!$A:$A,0)),"Nama tidak ada di daftar Pegawai",IF($A37="","Nomor SPD belum diisi",IF($C37="","Tempat tujuan kosong",IF(NOT(ISNUMBER($D37)),"Tanggal kosong/bukan tanggal",IF(COUNTIF($B$2:$B$200,$B37)&gt;6,"OK",IF(COUNTIFS($B$2:$B$200,$B37,$A$2:$A$200,"&lt;&gt;"&amp;$A37)&gt;0,"Nomor SPD berbeda untuk pegawai yang sama","OK")))))))</f>
        <v/>
      </c>
      <c r="I37" s="13" t="str">
        <f>IF($A37="","",IF(ISNUMBER(SEARCH("/",$A37)),$A37,IF(Kegiatan!$B$3="","(isi Tanggal dikeluarkan)",$A37&amp;"/"&amp;Kegiatan!$B$15&amp;"/"&amp;ROMAN(MONTH(Kegiatan!$B$3))&amp;"/"&amp;YEAR(Kegiatan!$B$3))))</f>
        <v/>
      </c>
    </row>
    <row r="38" spans="1:9" x14ac:dyDescent="0.3">
      <c r="A38" s="8">
        <v>2323</v>
      </c>
      <c r="B38" s="8" t="s">
        <v>96</v>
      </c>
      <c r="C38" s="8" t="s">
        <v>123</v>
      </c>
      <c r="D38" s="12">
        <v>46246</v>
      </c>
      <c r="E38" s="13" t="str">
        <f>IF($B38="","",IFERROR(INDEX(Pegawai!$B:$B,MATCH($B38,Pegawai!$A:$A,0)),""))</f>
        <v/>
      </c>
      <c r="F38" s="13" t="str">
        <f>IF($B38="","",IFERROR(INDEX(Pegawai!$C:$C,MATCH($B38,Pegawai!$A:$A,0)),""))</f>
        <v/>
      </c>
      <c r="G38" s="13" t="str">
        <f>IF($B38="","",IFERROR(INDEX(Pegawai!$D:$D,MATCH($B38,Pegawai!$A:$A,0)),""))</f>
        <v/>
      </c>
      <c r="H38" s="13" t="str">
        <f>IF($B38="","",IF(ISNA(MATCH($B38,Pegawai!$A:$A,0)),"Nama tidak ada di daftar Pegawai",IF($A38="","Nomor SPD belum diisi",IF($C38="","Tempat tujuan kosong",IF(NOT(ISNUMBER($D38)),"Tanggal kosong/bukan tanggal",IF(COUNTIF($B$2:$B$200,$B38)&gt;6,"OK",IF(COUNTIFS($B$2:$B$200,$B38,$A$2:$A$200,"&lt;&gt;"&amp;$A38)&gt;0,"Nomor SPD berbeda untuk pegawai yang sama","OK")))))))</f>
        <v/>
      </c>
      <c r="I38" s="13" t="str">
        <f>IF($A38="","",IF(ISNUMBER(SEARCH("/",$A38)),$A38,IF(Kegiatan!$B$3="","(isi Tanggal dikeluarkan)",$A38&amp;"/"&amp;Kegiatan!$B$15&amp;"/"&amp;ROMAN(MONTH(Kegiatan!$B$3))&amp;"/"&amp;YEAR(Kegiatan!$B$3))))</f>
        <v/>
      </c>
    </row>
    <row r="39" spans="1:9" x14ac:dyDescent="0.3">
      <c r="A39" s="8">
        <v>2309</v>
      </c>
      <c r="B39" s="8" t="s">
        <v>99</v>
      </c>
      <c r="C39" s="8" t="s">
        <v>124</v>
      </c>
      <c r="D39" s="12">
        <v>46240</v>
      </c>
      <c r="E39" s="13" t="str">
        <f>IF($B39="","",IFERROR(INDEX(Pegawai!$B:$B,MATCH($B39,Pegawai!$A:$A,0)),""))</f>
        <v/>
      </c>
      <c r="F39" s="13" t="str">
        <f>IF($B39="","",IFERROR(INDEX(Pegawai!$C:$C,MATCH($B39,Pegawai!$A:$A,0)),""))</f>
        <v/>
      </c>
      <c r="G39" s="13" t="str">
        <f>IF($B39="","",IFERROR(INDEX(Pegawai!$D:$D,MATCH($B39,Pegawai!$A:$A,0)),""))</f>
        <v/>
      </c>
      <c r="H39" s="13" t="str">
        <f>IF($B39="","",IF(ISNA(MATCH($B39,Pegawai!$A:$A,0)),"Nama tidak ada di daftar Pegawai",IF($A39="","Nomor SPD belum diisi",IF($C39="","Tempat tujuan kosong",IF(NOT(ISNUMBER($D39)),"Tanggal kosong/bukan tanggal",IF(COUNTIF($B$2:$B$200,$B39)&gt;6,"OK",IF(COUNTIFS($B$2:$B$200,$B39,$A$2:$A$200,"&lt;&gt;"&amp;$A39)&gt;0,"Nomor SPD berbeda untuk pegawai yang sama","OK")))))))</f>
        <v/>
      </c>
      <c r="I39" s="13" t="str">
        <f>IF($A39="","",IF(ISNUMBER(SEARCH("/",$A39)),$A39,IF(Kegiatan!$B$3="","(isi Tanggal dikeluarkan)",$A39&amp;"/"&amp;Kegiatan!$B$15&amp;"/"&amp;ROMAN(MONTH(Kegiatan!$B$3))&amp;"/"&amp;YEAR(Kegiatan!$B$3))))</f>
        <v/>
      </c>
    </row>
    <row r="40" spans="1:9" x14ac:dyDescent="0.3">
      <c r="A40" s="8">
        <v>2309</v>
      </c>
      <c r="B40" s="8" t="s">
        <v>99</v>
      </c>
      <c r="C40" s="8" t="s">
        <v>116</v>
      </c>
      <c r="D40" s="12">
        <v>46247</v>
      </c>
      <c r="E40" s="13" t="str">
        <f>IF($B40="","",IFERROR(INDEX(Pegawai!$B:$B,MATCH($B40,Pegawai!$A:$A,0)),""))</f>
        <v/>
      </c>
      <c r="F40" s="13" t="str">
        <f>IF($B40="","",IFERROR(INDEX(Pegawai!$C:$C,MATCH($B40,Pegawai!$A:$A,0)),""))</f>
        <v/>
      </c>
      <c r="G40" s="13" t="str">
        <f>IF($B40="","",IFERROR(INDEX(Pegawai!$D:$D,MATCH($B40,Pegawai!$A:$A,0)),""))</f>
        <v/>
      </c>
      <c r="H40" s="13" t="str">
        <f>IF($B40="","",IF(ISNA(MATCH($B40,Pegawai!$A:$A,0)),"Nama tidak ada di daftar Pegawai",IF($A40="","Nomor SPD belum diisi",IF($C40="","Tempat tujuan kosong",IF(NOT(ISNUMBER($D40)),"Tanggal kosong/bukan tanggal",IF(COUNTIF($B$2:$B$200,$B40)&gt;6,"OK",IF(COUNTIFS($B$2:$B$200,$B40,$A$2:$A$200,"&lt;&gt;"&amp;$A40)&gt;0,"Nomor SPD berbeda untuk pegawai yang sama","OK")))))))</f>
        <v/>
      </c>
      <c r="I40" s="13" t="str">
        <f>IF($A40="","",IF(ISNUMBER(SEARCH("/",$A40)),$A40,IF(Kegiatan!$B$3="","(isi Tanggal dikeluarkan)",$A40&amp;"/"&amp;Kegiatan!$B$15&amp;"/"&amp;ROMAN(MONTH(Kegiatan!$B$3))&amp;"/"&amp;YEAR(Kegiatan!$B$3))))</f>
        <v/>
      </c>
    </row>
    <row r="41" spans="1:9" x14ac:dyDescent="0.3">
      <c r="A41" s="8">
        <v>2309</v>
      </c>
      <c r="B41" s="8" t="s">
        <v>99</v>
      </c>
      <c r="C41" s="8" t="s">
        <v>126</v>
      </c>
      <c r="D41" s="12">
        <v>46249</v>
      </c>
      <c r="E41" s="13" t="str">
        <f>IF($B41="","",IFERROR(INDEX(Pegawai!$B:$B,MATCH($B41,Pegawai!$A:$A,0)),""))</f>
        <v/>
      </c>
      <c r="F41" s="13" t="str">
        <f>IF($B41="","",IFERROR(INDEX(Pegawai!$C:$C,MATCH($B41,Pegawai!$A:$A,0)),""))</f>
        <v/>
      </c>
      <c r="G41" s="13" t="str">
        <f>IF($B41="","",IFERROR(INDEX(Pegawai!$D:$D,MATCH($B41,Pegawai!$A:$A,0)),""))</f>
        <v/>
      </c>
      <c r="H41" s="13" t="str">
        <f>IF($B41="","",IF(ISNA(MATCH($B41,Pegawai!$A:$A,0)),"Nama tidak ada di daftar Pegawai",IF($A41="","Nomor SPD belum diisi",IF($C41="","Tempat tujuan kosong",IF(NOT(ISNUMBER($D41)),"Tanggal kosong/bukan tanggal",IF(COUNTIF($B$2:$B$200,$B41)&gt;6,"OK",IF(COUNTIFS($B$2:$B$200,$B41,$A$2:$A$200,"&lt;&gt;"&amp;$A41)&gt;0,"Nomor SPD berbeda untuk pegawai yang sama","OK")))))))</f>
        <v/>
      </c>
      <c r="I41" s="13" t="str">
        <f>IF($A41="","",IF(ISNUMBER(SEARCH("/",$A41)),$A41,IF(Kegiatan!$B$3="","(isi Tanggal dikeluarkan)",$A41&amp;"/"&amp;Kegiatan!$B$15&amp;"/"&amp;ROMAN(MONTH(Kegiatan!$B$3))&amp;"/"&amp;YEAR(Kegiatan!$B$3))))</f>
        <v/>
      </c>
    </row>
    <row r="42" spans="1:9" x14ac:dyDescent="0.3">
      <c r="A42" s="8"/>
      <c r="B42" s="8"/>
      <c r="C42" s="8"/>
      <c r="D42" s="12"/>
      <c r="E42" s="13" t="str">
        <f>IF($B42="","",IFERROR(INDEX(Pegawai!$B:$B,MATCH($B42,Pegawai!$A:$A,0)),""))</f>
        <v/>
      </c>
      <c r="F42" s="13" t="str">
        <f>IF($B42="","",IFERROR(INDEX(Pegawai!$C:$C,MATCH($B42,Pegawai!$A:$A,0)),""))</f>
        <v/>
      </c>
      <c r="G42" s="13" t="str">
        <f>IF($B42="","",IFERROR(INDEX(Pegawai!$D:$D,MATCH($B42,Pegawai!$A:$A,0)),""))</f>
        <v/>
      </c>
      <c r="H42" s="13" t="str">
        <f>IF($B42="","",IF(ISNA(MATCH($B42,Pegawai!$A:$A,0)),"Nama tidak ada di daftar Pegawai",IF($A42="","Nomor SPD belum diisi",IF($C42="","Tempat tujuan kosong",IF(NOT(ISNUMBER($D42)),"Tanggal kosong/bukan tanggal",IF(COUNTIF($B$2:$B$200,$B42)&gt;6,"OK",IF(COUNTIFS($B$2:$B$200,$B42,$A$2:$A$200,"&lt;&gt;"&amp;$A42)&gt;0,"Nomor SPD berbeda untuk pegawai yang sama","OK")))))))</f>
        <v/>
      </c>
      <c r="I42" s="13" t="str">
        <f>IF($A42="","",IF(ISNUMBER(SEARCH("/",$A42)),$A42,IF(Kegiatan!$B$3="","(isi Tanggal dikeluarkan)",$A42&amp;"/"&amp;Kegiatan!$B$15&amp;"/"&amp;ROMAN(MONTH(Kegiatan!$B$3))&amp;"/"&amp;YEAR(Kegiatan!$B$3))))</f>
        <v/>
      </c>
    </row>
    <row r="43" spans="1:9" x14ac:dyDescent="0.3">
      <c r="A43" s="8"/>
      <c r="B43" s="8"/>
      <c r="C43" s="8"/>
      <c r="D43" s="12"/>
      <c r="E43" s="13" t="str">
        <f>IF($B43="","",IFERROR(INDEX(Pegawai!$B:$B,MATCH($B43,Pegawai!$A:$A,0)),""))</f>
        <v/>
      </c>
      <c r="F43" s="13" t="str">
        <f>IF($B43="","",IFERROR(INDEX(Pegawai!$C:$C,MATCH($B43,Pegawai!$A:$A,0)),""))</f>
        <v/>
      </c>
      <c r="G43" s="13" t="str">
        <f>IF($B43="","",IFERROR(INDEX(Pegawai!$D:$D,MATCH($B43,Pegawai!$A:$A,0)),""))</f>
        <v/>
      </c>
      <c r="H43" s="13" t="str">
        <f>IF($B43="","",IF(ISNA(MATCH($B43,Pegawai!$A:$A,0)),"Nama tidak ada di daftar Pegawai",IF($A43="","Nomor SPD belum diisi",IF($C43="","Tempat tujuan kosong",IF(NOT(ISNUMBER($D43)),"Tanggal kosong/bukan tanggal",IF(COUNTIF($B$2:$B$200,$B43)&gt;6,"OK",IF(COUNTIFS($B$2:$B$200,$B43,$A$2:$A$200,"&lt;&gt;"&amp;$A43)&gt;0,"Nomor SPD berbeda untuk pegawai yang sama","OK")))))))</f>
        <v/>
      </c>
      <c r="I43" s="13" t="str">
        <f>IF($A43="","",IF(ISNUMBER(SEARCH("/",$A43)),$A43,IF(Kegiatan!$B$3="","(isi Tanggal dikeluarkan)",$A43&amp;"/"&amp;Kegiatan!$B$15&amp;"/"&amp;ROMAN(MONTH(Kegiatan!$B$3))&amp;"/"&amp;YEAR(Kegiatan!$B$3))))</f>
        <v/>
      </c>
    </row>
    <row r="44" spans="1:9" x14ac:dyDescent="0.3">
      <c r="A44" s="8"/>
      <c r="B44" s="8"/>
      <c r="C44" s="8"/>
      <c r="D44" s="12"/>
      <c r="E44" s="13" t="str">
        <f>IF($B44="","",IFERROR(INDEX(Pegawai!$B:$B,MATCH($B44,Pegawai!$A:$A,0)),""))</f>
        <v/>
      </c>
      <c r="F44" s="13" t="str">
        <f>IF($B44="","",IFERROR(INDEX(Pegawai!$C:$C,MATCH($B44,Pegawai!$A:$A,0)),""))</f>
        <v/>
      </c>
      <c r="G44" s="13" t="str">
        <f>IF($B44="","",IFERROR(INDEX(Pegawai!$D:$D,MATCH($B44,Pegawai!$A:$A,0)),""))</f>
        <v/>
      </c>
      <c r="H44" s="13" t="str">
        <f>IF($B44="","",IF(ISNA(MATCH($B44,Pegawai!$A:$A,0)),"Nama tidak ada di daftar Pegawai",IF($A44="","Nomor SPD belum diisi",IF($C44="","Tempat tujuan kosong",IF(NOT(ISNUMBER($D44)),"Tanggal kosong/bukan tanggal",IF(COUNTIF($B$2:$B$200,$B44)&gt;6,"OK",IF(COUNTIFS($B$2:$B$200,$B44,$A$2:$A$200,"&lt;&gt;"&amp;$A44)&gt;0,"Nomor SPD berbeda untuk pegawai yang sama","OK")))))))</f>
        <v/>
      </c>
      <c r="I44" s="13" t="str">
        <f>IF($A44="","",IF(ISNUMBER(SEARCH("/",$A44)),$A44,IF(Kegiatan!$B$3="","(isi Tanggal dikeluarkan)",$A44&amp;"/"&amp;Kegiatan!$B$15&amp;"/"&amp;ROMAN(MONTH(Kegiatan!$B$3))&amp;"/"&amp;YEAR(Kegiatan!$B$3))))</f>
        <v/>
      </c>
    </row>
    <row r="45" spans="1:9" x14ac:dyDescent="0.3">
      <c r="A45" s="8"/>
      <c r="B45" s="8"/>
      <c r="C45" s="8"/>
      <c r="D45" s="12"/>
      <c r="E45" s="13" t="str">
        <f>IF($B45="","",IFERROR(INDEX(Pegawai!$B:$B,MATCH($B45,Pegawai!$A:$A,0)),""))</f>
        <v/>
      </c>
      <c r="F45" s="13" t="str">
        <f>IF($B45="","",IFERROR(INDEX(Pegawai!$C:$C,MATCH($B45,Pegawai!$A:$A,0)),""))</f>
        <v/>
      </c>
      <c r="G45" s="13" t="str">
        <f>IF($B45="","",IFERROR(INDEX(Pegawai!$D:$D,MATCH($B45,Pegawai!$A:$A,0)),""))</f>
        <v/>
      </c>
      <c r="H45" s="13" t="str">
        <f>IF($B45="","",IF(ISNA(MATCH($B45,Pegawai!$A:$A,0)),"Nama tidak ada di daftar Pegawai",IF($A45="","Nomor SPD belum diisi",IF($C45="","Tempat tujuan kosong",IF(NOT(ISNUMBER($D45)),"Tanggal kosong/bukan tanggal",IF(COUNTIF($B$2:$B$200,$B45)&gt;6,"OK",IF(COUNTIFS($B$2:$B$200,$B45,$A$2:$A$200,"&lt;&gt;"&amp;$A45)&gt;0,"Nomor SPD berbeda untuk pegawai yang sama","OK")))))))</f>
        <v/>
      </c>
      <c r="I45" s="13" t="str">
        <f>IF($A45="","",IF(ISNUMBER(SEARCH("/",$A45)),$A45,IF(Kegiatan!$B$3="","(isi Tanggal dikeluarkan)",$A45&amp;"/"&amp;Kegiatan!$B$15&amp;"/"&amp;ROMAN(MONTH(Kegiatan!$B$3))&amp;"/"&amp;YEAR(Kegiatan!$B$3))))</f>
        <v/>
      </c>
    </row>
    <row r="46" spans="1:9" x14ac:dyDescent="0.3">
      <c r="A46" s="8"/>
      <c r="B46" s="8"/>
      <c r="C46" s="8"/>
      <c r="D46" s="12"/>
      <c r="E46" s="13" t="str">
        <f>IF($B46="","",IFERROR(INDEX(Pegawai!$B:$B,MATCH($B46,Pegawai!$A:$A,0)),""))</f>
        <v/>
      </c>
      <c r="F46" s="13" t="str">
        <f>IF($B46="","",IFERROR(INDEX(Pegawai!$C:$C,MATCH($B46,Pegawai!$A:$A,0)),""))</f>
        <v/>
      </c>
      <c r="G46" s="13" t="str">
        <f>IF($B46="","",IFERROR(INDEX(Pegawai!$D:$D,MATCH($B46,Pegawai!$A:$A,0)),""))</f>
        <v/>
      </c>
      <c r="H46" s="13" t="str">
        <f>IF($B46="","",IF(ISNA(MATCH($B46,Pegawai!$A:$A,0)),"Nama tidak ada di daftar Pegawai",IF($A46="","Nomor SPD belum diisi",IF($C46="","Tempat tujuan kosong",IF(NOT(ISNUMBER($D46)),"Tanggal kosong/bukan tanggal",IF(COUNTIF($B$2:$B$200,$B46)&gt;6,"OK",IF(COUNTIFS($B$2:$B$200,$B46,$A$2:$A$200,"&lt;&gt;"&amp;$A46)&gt;0,"Nomor SPD berbeda untuk pegawai yang sama","OK")))))))</f>
        <v/>
      </c>
      <c r="I46" s="13" t="str">
        <f>IF($A46="","",IF(ISNUMBER(SEARCH("/",$A46)),$A46,IF(Kegiatan!$B$3="","(isi Tanggal dikeluarkan)",$A46&amp;"/"&amp;Kegiatan!$B$15&amp;"/"&amp;ROMAN(MONTH(Kegiatan!$B$3))&amp;"/"&amp;YEAR(Kegiatan!$B$3))))</f>
        <v/>
      </c>
    </row>
    <row r="47" spans="1:9" x14ac:dyDescent="0.3">
      <c r="A47" s="8"/>
      <c r="B47" s="8"/>
      <c r="C47" s="8"/>
      <c r="D47" s="12"/>
      <c r="E47" s="13" t="str">
        <f>IF($B47="","",IFERROR(INDEX(Pegawai!$B:$B,MATCH($B47,Pegawai!$A:$A,0)),""))</f>
        <v/>
      </c>
      <c r="F47" s="13" t="str">
        <f>IF($B47="","",IFERROR(INDEX(Pegawai!$C:$C,MATCH($B47,Pegawai!$A:$A,0)),""))</f>
        <v/>
      </c>
      <c r="G47" s="13" t="str">
        <f>IF($B47="","",IFERROR(INDEX(Pegawai!$D:$D,MATCH($B47,Pegawai!$A:$A,0)),""))</f>
        <v/>
      </c>
      <c r="H47" s="13" t="str">
        <f>IF($B47="","",IF(ISNA(MATCH($B47,Pegawai!$A:$A,0)),"Nama tidak ada di daftar Pegawai",IF($A47="","Nomor SPD belum diisi",IF($C47="","Tempat tujuan kosong",IF(NOT(ISNUMBER($D47)),"Tanggal kosong/bukan tanggal",IF(COUNTIF($B$2:$B$200,$B47)&gt;6,"OK",IF(COUNTIFS($B$2:$B$200,$B47,$A$2:$A$200,"&lt;&gt;"&amp;$A47)&gt;0,"Nomor SPD berbeda untuk pegawai yang sama","OK")))))))</f>
        <v/>
      </c>
      <c r="I47" s="13" t="str">
        <f>IF($A47="","",IF(ISNUMBER(SEARCH("/",$A47)),$A47,IF(Kegiatan!$B$3="","(isi Tanggal dikeluarkan)",$A47&amp;"/"&amp;Kegiatan!$B$15&amp;"/"&amp;ROMAN(MONTH(Kegiatan!$B$3))&amp;"/"&amp;YEAR(Kegiatan!$B$3))))</f>
        <v/>
      </c>
    </row>
    <row r="48" spans="1:9" x14ac:dyDescent="0.3">
      <c r="A48" s="8"/>
      <c r="B48" s="8"/>
      <c r="C48" s="8"/>
      <c r="D48" s="12"/>
      <c r="E48" s="13" t="str">
        <f>IF($B48="","",IFERROR(INDEX(Pegawai!$B:$B,MATCH($B48,Pegawai!$A:$A,0)),""))</f>
        <v/>
      </c>
      <c r="F48" s="13" t="str">
        <f>IF($B48="","",IFERROR(INDEX(Pegawai!$C:$C,MATCH($B48,Pegawai!$A:$A,0)),""))</f>
        <v/>
      </c>
      <c r="G48" s="13" t="str">
        <f>IF($B48="","",IFERROR(INDEX(Pegawai!$D:$D,MATCH($B48,Pegawai!$A:$A,0)),""))</f>
        <v/>
      </c>
      <c r="H48" s="13" t="str">
        <f>IF($B48="","",IF(ISNA(MATCH($B48,Pegawai!$A:$A,0)),"Nama tidak ada di daftar Pegawai",IF($A48="","Nomor SPD belum diisi",IF($C48="","Tempat tujuan kosong",IF(NOT(ISNUMBER($D48)),"Tanggal kosong/bukan tanggal",IF(COUNTIF($B$2:$B$200,$B48)&gt;6,"OK",IF(COUNTIFS($B$2:$B$200,$B48,$A$2:$A$200,"&lt;&gt;"&amp;$A48)&gt;0,"Nomor SPD berbeda untuk pegawai yang sama","OK")))))))</f>
        <v/>
      </c>
      <c r="I48" s="13" t="str">
        <f>IF($A48="","",IF(ISNUMBER(SEARCH("/",$A48)),$A48,IF(Kegiatan!$B$3="","(isi Tanggal dikeluarkan)",$A48&amp;"/"&amp;Kegiatan!$B$15&amp;"/"&amp;ROMAN(MONTH(Kegiatan!$B$3))&amp;"/"&amp;YEAR(Kegiatan!$B$3))))</f>
        <v/>
      </c>
    </row>
    <row r="49" spans="1:9" x14ac:dyDescent="0.3">
      <c r="A49" s="8"/>
      <c r="B49" s="8"/>
      <c r="C49" s="8"/>
      <c r="D49" s="12"/>
      <c r="E49" s="13" t="str">
        <f>IF($B49="","",IFERROR(INDEX(Pegawai!$B:$B,MATCH($B49,Pegawai!$A:$A,0)),""))</f>
        <v/>
      </c>
      <c r="F49" s="13" t="str">
        <f>IF($B49="","",IFERROR(INDEX(Pegawai!$C:$C,MATCH($B49,Pegawai!$A:$A,0)),""))</f>
        <v/>
      </c>
      <c r="G49" s="13" t="str">
        <f>IF($B49="","",IFERROR(INDEX(Pegawai!$D:$D,MATCH($B49,Pegawai!$A:$A,0)),""))</f>
        <v/>
      </c>
      <c r="H49" s="13" t="str">
        <f>IF($B49="","",IF(ISNA(MATCH($B49,Pegawai!$A:$A,0)),"Nama tidak ada di daftar Pegawai",IF($A49="","Nomor SPD belum diisi",IF($C49="","Tempat tujuan kosong",IF(NOT(ISNUMBER($D49)),"Tanggal kosong/bukan tanggal",IF(COUNTIF($B$2:$B$200,$B49)&gt;6,"OK",IF(COUNTIFS($B$2:$B$200,$B49,$A$2:$A$200,"&lt;&gt;"&amp;$A49)&gt;0,"Nomor SPD berbeda untuk pegawai yang sama","OK")))))))</f>
        <v/>
      </c>
      <c r="I49" s="13" t="str">
        <f>IF($A49="","",IF(ISNUMBER(SEARCH("/",$A49)),$A49,IF(Kegiatan!$B$3="","(isi Tanggal dikeluarkan)",$A49&amp;"/"&amp;Kegiatan!$B$15&amp;"/"&amp;ROMAN(MONTH(Kegiatan!$B$3))&amp;"/"&amp;YEAR(Kegiatan!$B$3))))</f>
        <v/>
      </c>
    </row>
    <row r="50" spans="1:9" x14ac:dyDescent="0.3">
      <c r="A50" s="8"/>
      <c r="B50" s="8"/>
      <c r="C50" s="8"/>
      <c r="D50" s="12"/>
      <c r="E50" s="13" t="str">
        <f>IF($B50="","",IFERROR(INDEX(Pegawai!$B:$B,MATCH($B50,Pegawai!$A:$A,0)),""))</f>
        <v/>
      </c>
      <c r="F50" s="13" t="str">
        <f>IF($B50="","",IFERROR(INDEX(Pegawai!$C:$C,MATCH($B50,Pegawai!$A:$A,0)),""))</f>
        <v/>
      </c>
      <c r="G50" s="13" t="str">
        <f>IF($B50="","",IFERROR(INDEX(Pegawai!$D:$D,MATCH($B50,Pegawai!$A:$A,0)),""))</f>
        <v/>
      </c>
      <c r="H50" s="13" t="str">
        <f>IF($B50="","",IF(ISNA(MATCH($B50,Pegawai!$A:$A,0)),"Nama tidak ada di daftar Pegawai",IF($A50="","Nomor SPD belum diisi",IF($C50="","Tempat tujuan kosong",IF(NOT(ISNUMBER($D50)),"Tanggal kosong/bukan tanggal",IF(COUNTIF($B$2:$B$200,$B50)&gt;6,"OK",IF(COUNTIFS($B$2:$B$200,$B50,$A$2:$A$200,"&lt;&gt;"&amp;$A50)&gt;0,"Nomor SPD berbeda untuk pegawai yang sama","OK")))))))</f>
        <v/>
      </c>
      <c r="I50" s="13" t="str">
        <f>IF($A50="","",IF(ISNUMBER(SEARCH("/",$A50)),$A50,IF(Kegiatan!$B$3="","(isi Tanggal dikeluarkan)",$A50&amp;"/"&amp;Kegiatan!$B$15&amp;"/"&amp;ROMAN(MONTH(Kegiatan!$B$3))&amp;"/"&amp;YEAR(Kegiatan!$B$3))))</f>
        <v/>
      </c>
    </row>
    <row r="51" spans="1:9" x14ac:dyDescent="0.3">
      <c r="A51" s="8"/>
      <c r="B51" s="8"/>
      <c r="C51" s="8"/>
      <c r="D51" s="12"/>
      <c r="E51" s="13" t="str">
        <f>IF($B51="","",IFERROR(INDEX(Pegawai!$B:$B,MATCH($B51,Pegawai!$A:$A,0)),""))</f>
        <v/>
      </c>
      <c r="F51" s="13" t="str">
        <f>IF($B51="","",IFERROR(INDEX(Pegawai!$C:$C,MATCH($B51,Pegawai!$A:$A,0)),""))</f>
        <v/>
      </c>
      <c r="G51" s="13" t="str">
        <f>IF($B51="","",IFERROR(INDEX(Pegawai!$D:$D,MATCH($B51,Pegawai!$A:$A,0)),""))</f>
        <v/>
      </c>
      <c r="H51" s="13" t="str">
        <f>IF($B51="","",IF(ISNA(MATCH($B51,Pegawai!$A:$A,0)),"Nama tidak ada di daftar Pegawai",IF($A51="","Nomor SPD belum diisi",IF($C51="","Tempat tujuan kosong",IF(NOT(ISNUMBER($D51)),"Tanggal kosong/bukan tanggal",IF(COUNTIF($B$2:$B$200,$B51)&gt;6,"OK",IF(COUNTIFS($B$2:$B$200,$B51,$A$2:$A$200,"&lt;&gt;"&amp;$A51)&gt;0,"Nomor SPD berbeda untuk pegawai yang sama","OK")))))))</f>
        <v/>
      </c>
      <c r="I51" s="13" t="str">
        <f>IF($A51="","",IF(ISNUMBER(SEARCH("/",$A51)),$A51,IF(Kegiatan!$B$3="","(isi Tanggal dikeluarkan)",$A51&amp;"/"&amp;Kegiatan!$B$15&amp;"/"&amp;ROMAN(MONTH(Kegiatan!$B$3))&amp;"/"&amp;YEAR(Kegiatan!$B$3))))</f>
        <v/>
      </c>
    </row>
    <row r="52" spans="1:9" x14ac:dyDescent="0.3">
      <c r="A52" s="8"/>
      <c r="B52" s="8"/>
      <c r="C52" s="8"/>
      <c r="D52" s="12"/>
      <c r="E52" s="13" t="str">
        <f>IF($B52="","",IFERROR(INDEX(Pegawai!$B:$B,MATCH($B52,Pegawai!$A:$A,0)),""))</f>
        <v/>
      </c>
      <c r="F52" s="13" t="str">
        <f>IF($B52="","",IFERROR(INDEX(Pegawai!$C:$C,MATCH($B52,Pegawai!$A:$A,0)),""))</f>
        <v/>
      </c>
      <c r="G52" s="13" t="str">
        <f>IF($B52="","",IFERROR(INDEX(Pegawai!$D:$D,MATCH($B52,Pegawai!$A:$A,0)),""))</f>
        <v/>
      </c>
      <c r="H52" s="13" t="str">
        <f>IF($B52="","",IF(ISNA(MATCH($B52,Pegawai!$A:$A,0)),"Nama tidak ada di daftar Pegawai",IF($A52="","Nomor SPD belum diisi",IF($C52="","Tempat tujuan kosong",IF(NOT(ISNUMBER($D52)),"Tanggal kosong/bukan tanggal",IF(COUNTIF($B$2:$B$200,$B52)&gt;6,"OK",IF(COUNTIFS($B$2:$B$200,$B52,$A$2:$A$200,"&lt;&gt;"&amp;$A52)&gt;0,"Nomor SPD berbeda untuk pegawai yang sama","OK")))))))</f>
        <v/>
      </c>
      <c r="I52" s="13" t="str">
        <f>IF($A52="","",IF(ISNUMBER(SEARCH("/",$A52)),$A52,IF(Kegiatan!$B$3="","(isi Tanggal dikeluarkan)",$A52&amp;"/"&amp;Kegiatan!$B$15&amp;"/"&amp;ROMAN(MONTH(Kegiatan!$B$3))&amp;"/"&amp;YEAR(Kegiatan!$B$3))))</f>
        <v/>
      </c>
    </row>
    <row r="53" spans="1:9" x14ac:dyDescent="0.3">
      <c r="A53" s="8"/>
      <c r="B53" s="8"/>
      <c r="C53" s="8"/>
      <c r="D53" s="12"/>
      <c r="E53" s="13" t="str">
        <f>IF($B53="","",IFERROR(INDEX(Pegawai!$B:$B,MATCH($B53,Pegawai!$A:$A,0)),""))</f>
        <v/>
      </c>
      <c r="F53" s="13" t="str">
        <f>IF($B53="","",IFERROR(INDEX(Pegawai!$C:$C,MATCH($B53,Pegawai!$A:$A,0)),""))</f>
        <v/>
      </c>
      <c r="G53" s="13" t="str">
        <f>IF($B53="","",IFERROR(INDEX(Pegawai!$D:$D,MATCH($B53,Pegawai!$A:$A,0)),""))</f>
        <v/>
      </c>
      <c r="H53" s="13" t="str">
        <f>IF($B53="","",IF(ISNA(MATCH($B53,Pegawai!$A:$A,0)),"Nama tidak ada di daftar Pegawai",IF($A53="","Nomor SPD belum diisi",IF($C53="","Tempat tujuan kosong",IF(NOT(ISNUMBER($D53)),"Tanggal kosong/bukan tanggal",IF(COUNTIF($B$2:$B$200,$B53)&gt;6,"OK",IF(COUNTIFS($B$2:$B$200,$B53,$A$2:$A$200,"&lt;&gt;"&amp;$A53)&gt;0,"Nomor SPD berbeda untuk pegawai yang sama","OK")))))))</f>
        <v/>
      </c>
      <c r="I53" s="13" t="str">
        <f>IF($A53="","",IF(ISNUMBER(SEARCH("/",$A53)),$A53,IF(Kegiatan!$B$3="","(isi Tanggal dikeluarkan)",$A53&amp;"/"&amp;Kegiatan!$B$15&amp;"/"&amp;ROMAN(MONTH(Kegiatan!$B$3))&amp;"/"&amp;YEAR(Kegiatan!$B$3))))</f>
        <v/>
      </c>
    </row>
    <row r="54" spans="1:9" x14ac:dyDescent="0.3">
      <c r="A54" s="8"/>
      <c r="B54" s="8"/>
      <c r="C54" s="8"/>
      <c r="D54" s="12"/>
      <c r="E54" s="13" t="str">
        <f>IF($B54="","",IFERROR(INDEX(Pegawai!$B:$B,MATCH($B54,Pegawai!$A:$A,0)),""))</f>
        <v/>
      </c>
      <c r="F54" s="13" t="str">
        <f>IF($B54="","",IFERROR(INDEX(Pegawai!$C:$C,MATCH($B54,Pegawai!$A:$A,0)),""))</f>
        <v/>
      </c>
      <c r="G54" s="13" t="str">
        <f>IF($B54="","",IFERROR(INDEX(Pegawai!$D:$D,MATCH($B54,Pegawai!$A:$A,0)),""))</f>
        <v/>
      </c>
      <c r="H54" s="13" t="str">
        <f>IF($B54="","",IF(ISNA(MATCH($B54,Pegawai!$A:$A,0)),"Nama tidak ada di daftar Pegawai",IF($A54="","Nomor SPD belum diisi",IF($C54="","Tempat tujuan kosong",IF(NOT(ISNUMBER($D54)),"Tanggal kosong/bukan tanggal",IF(COUNTIF($B$2:$B$200,$B54)&gt;6,"OK",IF(COUNTIFS($B$2:$B$200,$B54,$A$2:$A$200,"&lt;&gt;"&amp;$A54)&gt;0,"Nomor SPD berbeda untuk pegawai yang sama","OK")))))))</f>
        <v/>
      </c>
      <c r="I54" s="13" t="str">
        <f>IF($A54="","",IF(ISNUMBER(SEARCH("/",$A54)),$A54,IF(Kegiatan!$B$3="","(isi Tanggal dikeluarkan)",$A54&amp;"/"&amp;Kegiatan!$B$15&amp;"/"&amp;ROMAN(MONTH(Kegiatan!$B$3))&amp;"/"&amp;YEAR(Kegiatan!$B$3))))</f>
        <v/>
      </c>
    </row>
    <row r="55" spans="1:9" x14ac:dyDescent="0.3">
      <c r="A55" s="8"/>
      <c r="B55" s="8"/>
      <c r="C55" s="8"/>
      <c r="D55" s="12"/>
      <c r="E55" s="13" t="str">
        <f>IF($B55="","",IFERROR(INDEX(Pegawai!$B:$B,MATCH($B55,Pegawai!$A:$A,0)),""))</f>
        <v/>
      </c>
      <c r="F55" s="13" t="str">
        <f>IF($B55="","",IFERROR(INDEX(Pegawai!$C:$C,MATCH($B55,Pegawai!$A:$A,0)),""))</f>
        <v/>
      </c>
      <c r="G55" s="13" t="str">
        <f>IF($B55="","",IFERROR(INDEX(Pegawai!$D:$D,MATCH($B55,Pegawai!$A:$A,0)),""))</f>
        <v/>
      </c>
      <c r="H55" s="13" t="str">
        <f>IF($B55="","",IF(ISNA(MATCH($B55,Pegawai!$A:$A,0)),"Nama tidak ada di daftar Pegawai",IF($A55="","Nomor SPD belum diisi",IF($C55="","Tempat tujuan kosong",IF(NOT(ISNUMBER($D55)),"Tanggal kosong/bukan tanggal",IF(COUNTIF($B$2:$B$200,$B55)&gt;6,"OK",IF(COUNTIFS($B$2:$B$200,$B55,$A$2:$A$200,"&lt;&gt;"&amp;$A55)&gt;0,"Nomor SPD berbeda untuk pegawai yang sama","OK")))))))</f>
        <v/>
      </c>
      <c r="I55" s="13" t="str">
        <f>IF($A55="","",IF(ISNUMBER(SEARCH("/",$A55)),$A55,IF(Kegiatan!$B$3="","(isi Tanggal dikeluarkan)",$A55&amp;"/"&amp;Kegiatan!$B$15&amp;"/"&amp;ROMAN(MONTH(Kegiatan!$B$3))&amp;"/"&amp;YEAR(Kegiatan!$B$3))))</f>
        <v/>
      </c>
    </row>
    <row r="56" spans="1:9" x14ac:dyDescent="0.3">
      <c r="A56" s="8"/>
      <c r="B56" s="8"/>
      <c r="C56" s="8"/>
      <c r="D56" s="12"/>
      <c r="E56" s="13" t="str">
        <f>IF($B56="","",IFERROR(INDEX(Pegawai!$B:$B,MATCH($B56,Pegawai!$A:$A,0)),""))</f>
        <v/>
      </c>
      <c r="F56" s="13" t="str">
        <f>IF($B56="","",IFERROR(INDEX(Pegawai!$C:$C,MATCH($B56,Pegawai!$A:$A,0)),""))</f>
        <v/>
      </c>
      <c r="G56" s="13" t="str">
        <f>IF($B56="","",IFERROR(INDEX(Pegawai!$D:$D,MATCH($B56,Pegawai!$A:$A,0)),""))</f>
        <v/>
      </c>
      <c r="H56" s="13" t="str">
        <f>IF($B56="","",IF(ISNA(MATCH($B56,Pegawai!$A:$A,0)),"Nama tidak ada di daftar Pegawai",IF($A56="","Nomor SPD belum diisi",IF($C56="","Tempat tujuan kosong",IF(NOT(ISNUMBER($D56)),"Tanggal kosong/bukan tanggal",IF(COUNTIF($B$2:$B$200,$B56)&gt;6,"OK",IF(COUNTIFS($B$2:$B$200,$B56,$A$2:$A$200,"&lt;&gt;"&amp;$A56)&gt;0,"Nomor SPD berbeda untuk pegawai yang sama","OK")))))))</f>
        <v/>
      </c>
      <c r="I56" s="13" t="str">
        <f>IF($A56="","",IF(ISNUMBER(SEARCH("/",$A56)),$A56,IF(Kegiatan!$B$3="","(isi Tanggal dikeluarkan)",$A56&amp;"/"&amp;Kegiatan!$B$15&amp;"/"&amp;ROMAN(MONTH(Kegiatan!$B$3))&amp;"/"&amp;YEAR(Kegiatan!$B$3))))</f>
        <v/>
      </c>
    </row>
    <row r="57" spans="1:9" x14ac:dyDescent="0.3">
      <c r="A57" s="8"/>
      <c r="B57" s="8"/>
      <c r="C57" s="8"/>
      <c r="D57" s="12"/>
      <c r="E57" s="13" t="str">
        <f>IF($B57="","",IFERROR(INDEX(Pegawai!$B:$B,MATCH($B57,Pegawai!$A:$A,0)),""))</f>
        <v/>
      </c>
      <c r="F57" s="13" t="str">
        <f>IF($B57="","",IFERROR(INDEX(Pegawai!$C:$C,MATCH($B57,Pegawai!$A:$A,0)),""))</f>
        <v/>
      </c>
      <c r="G57" s="13" t="str">
        <f>IF($B57="","",IFERROR(INDEX(Pegawai!$D:$D,MATCH($B57,Pegawai!$A:$A,0)),""))</f>
        <v/>
      </c>
      <c r="H57" s="13" t="str">
        <f>IF($B57="","",IF(ISNA(MATCH($B57,Pegawai!$A:$A,0)),"Nama tidak ada di daftar Pegawai",IF($A57="","Nomor SPD belum diisi",IF($C57="","Tempat tujuan kosong",IF(NOT(ISNUMBER($D57)),"Tanggal kosong/bukan tanggal",IF(COUNTIF($B$2:$B$200,$B57)&gt;6,"OK",IF(COUNTIFS($B$2:$B$200,$B57,$A$2:$A$200,"&lt;&gt;"&amp;$A57)&gt;0,"Nomor SPD berbeda untuk pegawai yang sama","OK")))))))</f>
        <v/>
      </c>
      <c r="I57" s="13" t="str">
        <f>IF($A57="","",IF(ISNUMBER(SEARCH("/",$A57)),$A57,IF(Kegiatan!$B$3="","(isi Tanggal dikeluarkan)",$A57&amp;"/"&amp;Kegiatan!$B$15&amp;"/"&amp;ROMAN(MONTH(Kegiatan!$B$3))&amp;"/"&amp;YEAR(Kegiatan!$B$3))))</f>
        <v/>
      </c>
    </row>
    <row r="58" spans="1:9" x14ac:dyDescent="0.3">
      <c r="A58" s="8"/>
      <c r="B58" s="8"/>
      <c r="C58" s="8"/>
      <c r="D58" s="12"/>
      <c r="E58" s="13" t="str">
        <f>IF($B58="","",IFERROR(INDEX(Pegawai!$B:$B,MATCH($B58,Pegawai!$A:$A,0)),""))</f>
        <v/>
      </c>
      <c r="F58" s="13" t="str">
        <f>IF($B58="","",IFERROR(INDEX(Pegawai!$C:$C,MATCH($B58,Pegawai!$A:$A,0)),""))</f>
        <v/>
      </c>
      <c r="G58" s="13" t="str">
        <f>IF($B58="","",IFERROR(INDEX(Pegawai!$D:$D,MATCH($B58,Pegawai!$A:$A,0)),""))</f>
        <v/>
      </c>
      <c r="H58" s="13" t="str">
        <f>IF($B58="","",IF(ISNA(MATCH($B58,Pegawai!$A:$A,0)),"Nama tidak ada di daftar Pegawai",IF($A58="","Nomor SPD belum diisi",IF($C58="","Tempat tujuan kosong",IF(NOT(ISNUMBER($D58)),"Tanggal kosong/bukan tanggal",IF(COUNTIF($B$2:$B$200,$B58)&gt;6,"OK",IF(COUNTIFS($B$2:$B$200,$B58,$A$2:$A$200,"&lt;&gt;"&amp;$A58)&gt;0,"Nomor SPD berbeda untuk pegawai yang sama","OK")))))))</f>
        <v/>
      </c>
      <c r="I58" s="13" t="str">
        <f>IF($A58="","",IF(ISNUMBER(SEARCH("/",$A58)),$A58,IF(Kegiatan!$B$3="","(isi Tanggal dikeluarkan)",$A58&amp;"/"&amp;Kegiatan!$B$15&amp;"/"&amp;ROMAN(MONTH(Kegiatan!$B$3))&amp;"/"&amp;YEAR(Kegiatan!$B$3))))</f>
        <v/>
      </c>
    </row>
    <row r="59" spans="1:9" x14ac:dyDescent="0.3">
      <c r="A59" s="8"/>
      <c r="B59" s="8"/>
      <c r="C59" s="8"/>
      <c r="D59" s="12"/>
      <c r="E59" s="13" t="str">
        <f>IF($B59="","",IFERROR(INDEX(Pegawai!$B:$B,MATCH($B59,Pegawai!$A:$A,0)),""))</f>
        <v/>
      </c>
      <c r="F59" s="13" t="str">
        <f>IF($B59="","",IFERROR(INDEX(Pegawai!$C:$C,MATCH($B59,Pegawai!$A:$A,0)),""))</f>
        <v/>
      </c>
      <c r="G59" s="13" t="str">
        <f>IF($B59="","",IFERROR(INDEX(Pegawai!$D:$D,MATCH($B59,Pegawai!$A:$A,0)),""))</f>
        <v/>
      </c>
      <c r="H59" s="13" t="str">
        <f>IF($B59="","",IF(ISNA(MATCH($B59,Pegawai!$A:$A,0)),"Nama tidak ada di daftar Pegawai",IF($A59="","Nomor SPD belum diisi",IF($C59="","Tempat tujuan kosong",IF(NOT(ISNUMBER($D59)),"Tanggal kosong/bukan tanggal",IF(COUNTIF($B$2:$B$200,$B59)&gt;6,"OK",IF(COUNTIFS($B$2:$B$200,$B59,$A$2:$A$200,"&lt;&gt;"&amp;$A59)&gt;0,"Nomor SPD berbeda untuk pegawai yang sama","OK")))))))</f>
        <v/>
      </c>
      <c r="I59" s="13" t="str">
        <f>IF($A59="","",IF(ISNUMBER(SEARCH("/",$A59)),$A59,IF(Kegiatan!$B$3="","(isi Tanggal dikeluarkan)",$A59&amp;"/"&amp;Kegiatan!$B$15&amp;"/"&amp;ROMAN(MONTH(Kegiatan!$B$3))&amp;"/"&amp;YEAR(Kegiatan!$B$3))))</f>
        <v/>
      </c>
    </row>
    <row r="60" spans="1:9" x14ac:dyDescent="0.3">
      <c r="A60" s="8"/>
      <c r="B60" s="8"/>
      <c r="C60" s="8"/>
      <c r="D60" s="12"/>
      <c r="E60" s="13" t="str">
        <f>IF($B60="","",IFERROR(INDEX(Pegawai!$B:$B,MATCH($B60,Pegawai!$A:$A,0)),""))</f>
        <v/>
      </c>
      <c r="F60" s="13" t="str">
        <f>IF($B60="","",IFERROR(INDEX(Pegawai!$C:$C,MATCH($B60,Pegawai!$A:$A,0)),""))</f>
        <v/>
      </c>
      <c r="G60" s="13" t="str">
        <f>IF($B60="","",IFERROR(INDEX(Pegawai!$D:$D,MATCH($B60,Pegawai!$A:$A,0)),""))</f>
        <v/>
      </c>
      <c r="H60" s="13" t="str">
        <f>IF($B60="","",IF(ISNA(MATCH($B60,Pegawai!$A:$A,0)),"Nama tidak ada di daftar Pegawai",IF($A60="","Nomor SPD belum diisi",IF($C60="","Tempat tujuan kosong",IF(NOT(ISNUMBER($D60)),"Tanggal kosong/bukan tanggal",IF(COUNTIF($B$2:$B$200,$B60)&gt;6,"OK",IF(COUNTIFS($B$2:$B$200,$B60,$A$2:$A$200,"&lt;&gt;"&amp;$A60)&gt;0,"Nomor SPD berbeda untuk pegawai yang sama","OK")))))))</f>
        <v/>
      </c>
      <c r="I60" s="13" t="str">
        <f>IF($A60="","",IF(ISNUMBER(SEARCH("/",$A60)),$A60,IF(Kegiatan!$B$3="","(isi Tanggal dikeluarkan)",$A60&amp;"/"&amp;Kegiatan!$B$15&amp;"/"&amp;ROMAN(MONTH(Kegiatan!$B$3))&amp;"/"&amp;YEAR(Kegiatan!$B$3))))</f>
        <v/>
      </c>
    </row>
    <row r="61" spans="1:9" x14ac:dyDescent="0.3">
      <c r="A61" s="8"/>
      <c r="B61" s="8"/>
      <c r="C61" s="8"/>
      <c r="D61" s="12"/>
      <c r="E61" s="13" t="str">
        <f>IF($B61="","",IFERROR(INDEX(Pegawai!$B:$B,MATCH($B61,Pegawai!$A:$A,0)),""))</f>
        <v/>
      </c>
      <c r="F61" s="13" t="str">
        <f>IF($B61="","",IFERROR(INDEX(Pegawai!$C:$C,MATCH($B61,Pegawai!$A:$A,0)),""))</f>
        <v/>
      </c>
      <c r="G61" s="13" t="str">
        <f>IF($B61="","",IFERROR(INDEX(Pegawai!$D:$D,MATCH($B61,Pegawai!$A:$A,0)),""))</f>
        <v/>
      </c>
      <c r="H61" s="13" t="str">
        <f>IF($B61="","",IF(ISNA(MATCH($B61,Pegawai!$A:$A,0)),"Nama tidak ada di daftar Pegawai",IF($A61="","Nomor SPD belum diisi",IF($C61="","Tempat tujuan kosong",IF(NOT(ISNUMBER($D61)),"Tanggal kosong/bukan tanggal",IF(COUNTIF($B$2:$B$200,$B61)&gt;6,"OK",IF(COUNTIFS($B$2:$B$200,$B61,$A$2:$A$200,"&lt;&gt;"&amp;$A61)&gt;0,"Nomor SPD berbeda untuk pegawai yang sama","OK")))))))</f>
        <v/>
      </c>
      <c r="I61" s="13" t="str">
        <f>IF($A61="","",IF(ISNUMBER(SEARCH("/",$A61)),$A61,IF(Kegiatan!$B$3="","(isi Tanggal dikeluarkan)",$A61&amp;"/"&amp;Kegiatan!$B$15&amp;"/"&amp;ROMAN(MONTH(Kegiatan!$B$3))&amp;"/"&amp;YEAR(Kegiatan!$B$3))))</f>
        <v/>
      </c>
    </row>
    <row r="62" spans="1:9" x14ac:dyDescent="0.3">
      <c r="A62" s="8"/>
      <c r="B62" s="8"/>
      <c r="C62" s="8"/>
      <c r="D62" s="12"/>
      <c r="E62" s="13" t="str">
        <f>IF($B62="","",IFERROR(INDEX(Pegawai!$B:$B,MATCH($B62,Pegawai!$A:$A,0)),""))</f>
        <v/>
      </c>
      <c r="F62" s="13" t="str">
        <f>IF($B62="","",IFERROR(INDEX(Pegawai!$C:$C,MATCH($B62,Pegawai!$A:$A,0)),""))</f>
        <v/>
      </c>
      <c r="G62" s="13" t="str">
        <f>IF($B62="","",IFERROR(INDEX(Pegawai!$D:$D,MATCH($B62,Pegawai!$A:$A,0)),""))</f>
        <v/>
      </c>
      <c r="H62" s="13" t="str">
        <f>IF($B62="","",IF(ISNA(MATCH($B62,Pegawai!$A:$A,0)),"Nama tidak ada di daftar Pegawai",IF($A62="","Nomor SPD belum diisi",IF($C62="","Tempat tujuan kosong",IF(NOT(ISNUMBER($D62)),"Tanggal kosong/bukan tanggal",IF(COUNTIF($B$2:$B$200,$B62)&gt;6,"OK",IF(COUNTIFS($B$2:$B$200,$B62,$A$2:$A$200,"&lt;&gt;"&amp;$A62)&gt;0,"Nomor SPD berbeda untuk pegawai yang sama","OK")))))))</f>
        <v/>
      </c>
      <c r="I62" s="13" t="str">
        <f>IF($A62="","",IF(ISNUMBER(SEARCH("/",$A62)),$A62,IF(Kegiatan!$B$3="","(isi Tanggal dikeluarkan)",$A62&amp;"/"&amp;Kegiatan!$B$15&amp;"/"&amp;ROMAN(MONTH(Kegiatan!$B$3))&amp;"/"&amp;YEAR(Kegiatan!$B$3))))</f>
        <v/>
      </c>
    </row>
    <row r="63" spans="1:9" x14ac:dyDescent="0.3">
      <c r="A63" s="8"/>
      <c r="B63" s="8"/>
      <c r="C63" s="8"/>
      <c r="D63" s="12"/>
      <c r="E63" s="13" t="str">
        <f>IF($B63="","",IFERROR(INDEX(Pegawai!$B:$B,MATCH($B63,Pegawai!$A:$A,0)),""))</f>
        <v/>
      </c>
      <c r="F63" s="13" t="str">
        <f>IF($B63="","",IFERROR(INDEX(Pegawai!$C:$C,MATCH($B63,Pegawai!$A:$A,0)),""))</f>
        <v/>
      </c>
      <c r="G63" s="13" t="str">
        <f>IF($B63="","",IFERROR(INDEX(Pegawai!$D:$D,MATCH($B63,Pegawai!$A:$A,0)),""))</f>
        <v/>
      </c>
      <c r="H63" s="13" t="str">
        <f>IF($B63="","",IF(ISNA(MATCH($B63,Pegawai!$A:$A,0)),"Nama tidak ada di daftar Pegawai",IF($A63="","Nomor SPD belum diisi",IF($C63="","Tempat tujuan kosong",IF(NOT(ISNUMBER($D63)),"Tanggal kosong/bukan tanggal",IF(COUNTIF($B$2:$B$200,$B63)&gt;6,"OK",IF(COUNTIFS($B$2:$B$200,$B63,$A$2:$A$200,"&lt;&gt;"&amp;$A63)&gt;0,"Nomor SPD berbeda untuk pegawai yang sama","OK")))))))</f>
        <v/>
      </c>
      <c r="I63" s="13" t="str">
        <f>IF($A63="","",IF(ISNUMBER(SEARCH("/",$A63)),$A63,IF(Kegiatan!$B$3="","(isi Tanggal dikeluarkan)",$A63&amp;"/"&amp;Kegiatan!$B$15&amp;"/"&amp;ROMAN(MONTH(Kegiatan!$B$3))&amp;"/"&amp;YEAR(Kegiatan!$B$3))))</f>
        <v/>
      </c>
    </row>
    <row r="64" spans="1:9" x14ac:dyDescent="0.3">
      <c r="A64" s="8"/>
      <c r="B64" s="8"/>
      <c r="C64" s="8"/>
      <c r="D64" s="12"/>
      <c r="E64" s="13" t="str">
        <f>IF($B64="","",IFERROR(INDEX(Pegawai!$B:$B,MATCH($B64,Pegawai!$A:$A,0)),""))</f>
        <v/>
      </c>
      <c r="F64" s="13" t="str">
        <f>IF($B64="","",IFERROR(INDEX(Pegawai!$C:$C,MATCH($B64,Pegawai!$A:$A,0)),""))</f>
        <v/>
      </c>
      <c r="G64" s="13" t="str">
        <f>IF($B64="","",IFERROR(INDEX(Pegawai!$D:$D,MATCH($B64,Pegawai!$A:$A,0)),""))</f>
        <v/>
      </c>
      <c r="H64" s="13" t="str">
        <f>IF($B64="","",IF(ISNA(MATCH($B64,Pegawai!$A:$A,0)),"Nama tidak ada di daftar Pegawai",IF($A64="","Nomor SPD belum diisi",IF($C64="","Tempat tujuan kosong",IF(NOT(ISNUMBER($D64)),"Tanggal kosong/bukan tanggal",IF(COUNTIF($B$2:$B$200,$B64)&gt;6,"OK",IF(COUNTIFS($B$2:$B$200,$B64,$A$2:$A$200,"&lt;&gt;"&amp;$A64)&gt;0,"Nomor SPD berbeda untuk pegawai yang sama","OK")))))))</f>
        <v/>
      </c>
      <c r="I64" s="13" t="str">
        <f>IF($A64="","",IF(ISNUMBER(SEARCH("/",$A64)),$A64,IF(Kegiatan!$B$3="","(isi Tanggal dikeluarkan)",$A64&amp;"/"&amp;Kegiatan!$B$15&amp;"/"&amp;ROMAN(MONTH(Kegiatan!$B$3))&amp;"/"&amp;YEAR(Kegiatan!$B$3))))</f>
        <v/>
      </c>
    </row>
    <row r="65" spans="1:9" x14ac:dyDescent="0.3">
      <c r="A65" s="8"/>
      <c r="B65" s="8"/>
      <c r="C65" s="8"/>
      <c r="D65" s="12"/>
      <c r="E65" s="13" t="str">
        <f>IF($B65="","",IFERROR(INDEX(Pegawai!$B:$B,MATCH($B65,Pegawai!$A:$A,0)),""))</f>
        <v/>
      </c>
      <c r="F65" s="13" t="str">
        <f>IF($B65="","",IFERROR(INDEX(Pegawai!$C:$C,MATCH($B65,Pegawai!$A:$A,0)),""))</f>
        <v/>
      </c>
      <c r="G65" s="13" t="str">
        <f>IF($B65="","",IFERROR(INDEX(Pegawai!$D:$D,MATCH($B65,Pegawai!$A:$A,0)),""))</f>
        <v/>
      </c>
      <c r="H65" s="13" t="str">
        <f>IF($B65="","",IF(ISNA(MATCH($B65,Pegawai!$A:$A,0)),"Nama tidak ada di daftar Pegawai",IF($A65="","Nomor SPD belum diisi",IF($C65="","Tempat tujuan kosong",IF(NOT(ISNUMBER($D65)),"Tanggal kosong/bukan tanggal",IF(COUNTIF($B$2:$B$200,$B65)&gt;6,"OK",IF(COUNTIFS($B$2:$B$200,$B65,$A$2:$A$200,"&lt;&gt;"&amp;$A65)&gt;0,"Nomor SPD berbeda untuk pegawai yang sama","OK")))))))</f>
        <v/>
      </c>
      <c r="I65" s="13" t="str">
        <f>IF($A65="","",IF(ISNUMBER(SEARCH("/",$A65)),$A65,IF(Kegiatan!$B$3="","(isi Tanggal dikeluarkan)",$A65&amp;"/"&amp;Kegiatan!$B$15&amp;"/"&amp;ROMAN(MONTH(Kegiatan!$B$3))&amp;"/"&amp;YEAR(Kegiatan!$B$3))))</f>
        <v/>
      </c>
    </row>
    <row r="66" spans="1:9" x14ac:dyDescent="0.3">
      <c r="A66" s="8"/>
      <c r="B66" s="8"/>
      <c r="C66" s="8"/>
      <c r="D66" s="12"/>
      <c r="E66" s="13" t="str">
        <f>IF($B66="","",IFERROR(INDEX(Pegawai!$B:$B,MATCH($B66,Pegawai!$A:$A,0)),""))</f>
        <v/>
      </c>
      <c r="F66" s="13" t="str">
        <f>IF($B66="","",IFERROR(INDEX(Pegawai!$C:$C,MATCH($B66,Pegawai!$A:$A,0)),""))</f>
        <v/>
      </c>
      <c r="G66" s="13" t="str">
        <f>IF($B66="","",IFERROR(INDEX(Pegawai!$D:$D,MATCH($B66,Pegawai!$A:$A,0)),""))</f>
        <v/>
      </c>
      <c r="H66" s="13" t="str">
        <f>IF($B66="","",IF(ISNA(MATCH($B66,Pegawai!$A:$A,0)),"Nama tidak ada di daftar Pegawai",IF($A66="","Nomor SPD belum diisi",IF($C66="","Tempat tujuan kosong",IF(NOT(ISNUMBER($D66)),"Tanggal kosong/bukan tanggal",IF(COUNTIF($B$2:$B$200,$B66)&gt;6,"OK",IF(COUNTIFS($B$2:$B$200,$B66,$A$2:$A$200,"&lt;&gt;"&amp;$A66)&gt;0,"Nomor SPD berbeda untuk pegawai yang sama","OK")))))))</f>
        <v/>
      </c>
      <c r="I66" s="13" t="str">
        <f>IF($A66="","",IF(ISNUMBER(SEARCH("/",$A66)),$A66,IF(Kegiatan!$B$3="","(isi Tanggal dikeluarkan)",$A66&amp;"/"&amp;Kegiatan!$B$15&amp;"/"&amp;ROMAN(MONTH(Kegiatan!$B$3))&amp;"/"&amp;YEAR(Kegiatan!$B$3))))</f>
        <v/>
      </c>
    </row>
    <row r="67" spans="1:9" x14ac:dyDescent="0.3">
      <c r="A67" s="8"/>
      <c r="B67" s="8"/>
      <c r="C67" s="8"/>
      <c r="D67" s="12"/>
      <c r="E67" s="13" t="str">
        <f>IF($B67="","",IFERROR(INDEX(Pegawai!$B:$B,MATCH($B67,Pegawai!$A:$A,0)),""))</f>
        <v/>
      </c>
      <c r="F67" s="13" t="str">
        <f>IF($B67="","",IFERROR(INDEX(Pegawai!$C:$C,MATCH($B67,Pegawai!$A:$A,0)),""))</f>
        <v/>
      </c>
      <c r="G67" s="13" t="str">
        <f>IF($B67="","",IFERROR(INDEX(Pegawai!$D:$D,MATCH($B67,Pegawai!$A:$A,0)),""))</f>
        <v/>
      </c>
      <c r="H67" s="13" t="str">
        <f>IF($B67="","",IF(ISNA(MATCH($B67,Pegawai!$A:$A,0)),"Nama tidak ada di daftar Pegawai",IF($A67="","Nomor SPD belum diisi",IF($C67="","Tempat tujuan kosong",IF(NOT(ISNUMBER($D67)),"Tanggal kosong/bukan tanggal",IF(COUNTIF($B$2:$B$200,$B67)&gt;6,"OK",IF(COUNTIFS($B$2:$B$200,$B67,$A$2:$A$200,"&lt;&gt;"&amp;$A67)&gt;0,"Nomor SPD berbeda untuk pegawai yang sama","OK")))))))</f>
        <v/>
      </c>
      <c r="I67" s="13" t="str">
        <f>IF($A67="","",IF(ISNUMBER(SEARCH("/",$A67)),$A67,IF(Kegiatan!$B$3="","(isi Tanggal dikeluarkan)",$A67&amp;"/"&amp;Kegiatan!$B$15&amp;"/"&amp;ROMAN(MONTH(Kegiatan!$B$3))&amp;"/"&amp;YEAR(Kegiatan!$B$3))))</f>
        <v/>
      </c>
    </row>
    <row r="68" spans="1:9" x14ac:dyDescent="0.3">
      <c r="A68" s="8"/>
      <c r="B68" s="8"/>
      <c r="C68" s="8"/>
      <c r="D68" s="12"/>
      <c r="E68" s="13" t="str">
        <f>IF($B68="","",IFERROR(INDEX(Pegawai!$B:$B,MATCH($B68,Pegawai!$A:$A,0)),""))</f>
        <v/>
      </c>
      <c r="F68" s="13" t="str">
        <f>IF($B68="","",IFERROR(INDEX(Pegawai!$C:$C,MATCH($B68,Pegawai!$A:$A,0)),""))</f>
        <v/>
      </c>
      <c r="G68" s="13" t="str">
        <f>IF($B68="","",IFERROR(INDEX(Pegawai!$D:$D,MATCH($B68,Pegawai!$A:$A,0)),""))</f>
        <v/>
      </c>
      <c r="H68" s="13" t="str">
        <f>IF($B68="","",IF(ISNA(MATCH($B68,Pegawai!$A:$A,0)),"Nama tidak ada di daftar Pegawai",IF($A68="","Nomor SPD belum diisi",IF($C68="","Tempat tujuan kosong",IF(NOT(ISNUMBER($D68)),"Tanggal kosong/bukan tanggal",IF(COUNTIF($B$2:$B$200,$B68)&gt;6,"OK",IF(COUNTIFS($B$2:$B$200,$B68,$A$2:$A$200,"&lt;&gt;"&amp;$A68)&gt;0,"Nomor SPD berbeda untuk pegawai yang sama","OK")))))))</f>
        <v/>
      </c>
      <c r="I68" s="13" t="str">
        <f>IF($A68="","",IF(ISNUMBER(SEARCH("/",$A68)),$A68,IF(Kegiatan!$B$3="","(isi Tanggal dikeluarkan)",$A68&amp;"/"&amp;Kegiatan!$B$15&amp;"/"&amp;ROMAN(MONTH(Kegiatan!$B$3))&amp;"/"&amp;YEAR(Kegiatan!$B$3))))</f>
        <v/>
      </c>
    </row>
    <row r="69" spans="1:9" x14ac:dyDescent="0.3">
      <c r="A69" s="8"/>
      <c r="B69" s="8"/>
      <c r="C69" s="8"/>
      <c r="D69" s="12"/>
      <c r="E69" s="13" t="str">
        <f>IF($B69="","",IFERROR(INDEX(Pegawai!$B:$B,MATCH($B69,Pegawai!$A:$A,0)),""))</f>
        <v/>
      </c>
      <c r="F69" s="13" t="str">
        <f>IF($B69="","",IFERROR(INDEX(Pegawai!$C:$C,MATCH($B69,Pegawai!$A:$A,0)),""))</f>
        <v/>
      </c>
      <c r="G69" s="13" t="str">
        <f>IF($B69="","",IFERROR(INDEX(Pegawai!$D:$D,MATCH($B69,Pegawai!$A:$A,0)),""))</f>
        <v/>
      </c>
      <c r="H69" s="13" t="str">
        <f>IF($B69="","",IF(ISNA(MATCH($B69,Pegawai!$A:$A,0)),"Nama tidak ada di daftar Pegawai",IF($A69="","Nomor SPD belum diisi",IF($C69="","Tempat tujuan kosong",IF(NOT(ISNUMBER($D69)),"Tanggal kosong/bukan tanggal",IF(COUNTIF($B$2:$B$200,$B69)&gt;6,"OK",IF(COUNTIFS($B$2:$B$200,$B69,$A$2:$A$200,"&lt;&gt;"&amp;$A69)&gt;0,"Nomor SPD berbeda untuk pegawai yang sama","OK")))))))</f>
        <v/>
      </c>
      <c r="I69" s="13" t="str">
        <f>IF($A69="","",IF(ISNUMBER(SEARCH("/",$A69)),$A69,IF(Kegiatan!$B$3="","(isi Tanggal dikeluarkan)",$A69&amp;"/"&amp;Kegiatan!$B$15&amp;"/"&amp;ROMAN(MONTH(Kegiatan!$B$3))&amp;"/"&amp;YEAR(Kegiatan!$B$3))))</f>
        <v/>
      </c>
    </row>
    <row r="70" spans="1:9" x14ac:dyDescent="0.3">
      <c r="A70" s="8"/>
      <c r="B70" s="8"/>
      <c r="C70" s="8"/>
      <c r="D70" s="12"/>
      <c r="E70" s="13" t="str">
        <f>IF($B70="","",IFERROR(INDEX(Pegawai!$B:$B,MATCH($B70,Pegawai!$A:$A,0)),""))</f>
        <v/>
      </c>
      <c r="F70" s="13" t="str">
        <f>IF($B70="","",IFERROR(INDEX(Pegawai!$C:$C,MATCH($B70,Pegawai!$A:$A,0)),""))</f>
        <v/>
      </c>
      <c r="G70" s="13" t="str">
        <f>IF($B70="","",IFERROR(INDEX(Pegawai!$D:$D,MATCH($B70,Pegawai!$A:$A,0)),""))</f>
        <v/>
      </c>
      <c r="H70" s="13" t="str">
        <f>IF($B70="","",IF(ISNA(MATCH($B70,Pegawai!$A:$A,0)),"Nama tidak ada di daftar Pegawai",IF($A70="","Nomor SPD belum diisi",IF($C70="","Tempat tujuan kosong",IF(NOT(ISNUMBER($D70)),"Tanggal kosong/bukan tanggal",IF(COUNTIF($B$2:$B$200,$B70)&gt;6,"OK",IF(COUNTIFS($B$2:$B$200,$B70,$A$2:$A$200,"&lt;&gt;"&amp;$A70)&gt;0,"Nomor SPD berbeda untuk pegawai yang sama","OK")))))))</f>
        <v/>
      </c>
      <c r="I70" s="13" t="str">
        <f>IF($A70="","",IF(ISNUMBER(SEARCH("/",$A70)),$A70,IF(Kegiatan!$B$3="","(isi Tanggal dikeluarkan)",$A70&amp;"/"&amp;Kegiatan!$B$15&amp;"/"&amp;ROMAN(MONTH(Kegiatan!$B$3))&amp;"/"&amp;YEAR(Kegiatan!$B$3))))</f>
        <v/>
      </c>
    </row>
    <row r="71" spans="1:9" x14ac:dyDescent="0.3">
      <c r="A71" s="8"/>
      <c r="B71" s="8"/>
      <c r="C71" s="8"/>
      <c r="D71" s="12"/>
      <c r="E71" s="13" t="str">
        <f>IF($B71="","",IFERROR(INDEX(Pegawai!$B:$B,MATCH($B71,Pegawai!$A:$A,0)),""))</f>
        <v/>
      </c>
      <c r="F71" s="13" t="str">
        <f>IF($B71="","",IFERROR(INDEX(Pegawai!$C:$C,MATCH($B71,Pegawai!$A:$A,0)),""))</f>
        <v/>
      </c>
      <c r="G71" s="13" t="str">
        <f>IF($B71="","",IFERROR(INDEX(Pegawai!$D:$D,MATCH($B71,Pegawai!$A:$A,0)),""))</f>
        <v/>
      </c>
      <c r="H71" s="13" t="str">
        <f>IF($B71="","",IF(ISNA(MATCH($B71,Pegawai!$A:$A,0)),"Nama tidak ada di daftar Pegawai",IF($A71="","Nomor SPD belum diisi",IF($C71="","Tempat tujuan kosong",IF(NOT(ISNUMBER($D71)),"Tanggal kosong/bukan tanggal",IF(COUNTIF($B$2:$B$200,$B71)&gt;6,"OK",IF(COUNTIFS($B$2:$B$200,$B71,$A$2:$A$200,"&lt;&gt;"&amp;$A71)&gt;0,"Nomor SPD berbeda untuk pegawai yang sama","OK")))))))</f>
        <v/>
      </c>
      <c r="I71" s="13" t="str">
        <f>IF($A71="","",IF(ISNUMBER(SEARCH("/",$A71)),$A71,IF(Kegiatan!$B$3="","(isi Tanggal dikeluarkan)",$A71&amp;"/"&amp;Kegiatan!$B$15&amp;"/"&amp;ROMAN(MONTH(Kegiatan!$B$3))&amp;"/"&amp;YEAR(Kegiatan!$B$3))))</f>
        <v/>
      </c>
    </row>
    <row r="72" spans="1:9" x14ac:dyDescent="0.3">
      <c r="A72" s="8"/>
      <c r="B72" s="8"/>
      <c r="C72" s="8"/>
      <c r="D72" s="12"/>
      <c r="E72" s="13" t="str">
        <f>IF($B72="","",IFERROR(INDEX(Pegawai!$B:$B,MATCH($B72,Pegawai!$A:$A,0)),""))</f>
        <v/>
      </c>
      <c r="F72" s="13" t="str">
        <f>IF($B72="","",IFERROR(INDEX(Pegawai!$C:$C,MATCH($B72,Pegawai!$A:$A,0)),""))</f>
        <v/>
      </c>
      <c r="G72" s="13" t="str">
        <f>IF($B72="","",IFERROR(INDEX(Pegawai!$D:$D,MATCH($B72,Pegawai!$A:$A,0)),""))</f>
        <v/>
      </c>
      <c r="H72" s="13" t="str">
        <f>IF($B72="","",IF(ISNA(MATCH($B72,Pegawai!$A:$A,0)),"Nama tidak ada di daftar Pegawai",IF($A72="","Nomor SPD belum diisi",IF($C72="","Tempat tujuan kosong",IF(NOT(ISNUMBER($D72)),"Tanggal kosong/bukan tanggal",IF(COUNTIF($B$2:$B$200,$B72)&gt;6,"OK",IF(COUNTIFS($B$2:$B$200,$B72,$A$2:$A$200,"&lt;&gt;"&amp;$A72)&gt;0,"Nomor SPD berbeda untuk pegawai yang sama","OK")))))))</f>
        <v/>
      </c>
      <c r="I72" s="13" t="str">
        <f>IF($A72="","",IF(ISNUMBER(SEARCH("/",$A72)),$A72,IF(Kegiatan!$B$3="","(isi Tanggal dikeluarkan)",$A72&amp;"/"&amp;Kegiatan!$B$15&amp;"/"&amp;ROMAN(MONTH(Kegiatan!$B$3))&amp;"/"&amp;YEAR(Kegiatan!$B$3))))</f>
        <v/>
      </c>
    </row>
    <row r="73" spans="1:9" x14ac:dyDescent="0.3">
      <c r="A73" s="8"/>
      <c r="B73" s="8"/>
      <c r="C73" s="8"/>
      <c r="D73" s="12"/>
      <c r="E73" s="13" t="str">
        <f>IF($B73="","",IFERROR(INDEX(Pegawai!$B:$B,MATCH($B73,Pegawai!$A:$A,0)),""))</f>
        <v/>
      </c>
      <c r="F73" s="13" t="str">
        <f>IF($B73="","",IFERROR(INDEX(Pegawai!$C:$C,MATCH($B73,Pegawai!$A:$A,0)),""))</f>
        <v/>
      </c>
      <c r="G73" s="13" t="str">
        <f>IF($B73="","",IFERROR(INDEX(Pegawai!$D:$D,MATCH($B73,Pegawai!$A:$A,0)),""))</f>
        <v/>
      </c>
      <c r="H73" s="13" t="str">
        <f>IF($B73="","",IF(ISNA(MATCH($B73,Pegawai!$A:$A,0)),"Nama tidak ada di daftar Pegawai",IF($A73="","Nomor SPD belum diisi",IF($C73="","Tempat tujuan kosong",IF(NOT(ISNUMBER($D73)),"Tanggal kosong/bukan tanggal",IF(COUNTIF($B$2:$B$200,$B73)&gt;6,"OK",IF(COUNTIFS($B$2:$B$200,$B73,$A$2:$A$200,"&lt;&gt;"&amp;$A73)&gt;0,"Nomor SPD berbeda untuk pegawai yang sama","OK")))))))</f>
        <v/>
      </c>
      <c r="I73" s="13" t="str">
        <f>IF($A73="","",IF(ISNUMBER(SEARCH("/",$A73)),$A73,IF(Kegiatan!$B$3="","(isi Tanggal dikeluarkan)",$A73&amp;"/"&amp;Kegiatan!$B$15&amp;"/"&amp;ROMAN(MONTH(Kegiatan!$B$3))&amp;"/"&amp;YEAR(Kegiatan!$B$3))))</f>
        <v/>
      </c>
    </row>
    <row r="74" spans="1:9" x14ac:dyDescent="0.3">
      <c r="A74" s="8"/>
      <c r="B74" s="8"/>
      <c r="C74" s="8"/>
      <c r="D74" s="12"/>
      <c r="E74" s="13" t="str">
        <f>IF($B74="","",IFERROR(INDEX(Pegawai!$B:$B,MATCH($B74,Pegawai!$A:$A,0)),""))</f>
        <v/>
      </c>
      <c r="F74" s="13" t="str">
        <f>IF($B74="","",IFERROR(INDEX(Pegawai!$C:$C,MATCH($B74,Pegawai!$A:$A,0)),""))</f>
        <v/>
      </c>
      <c r="G74" s="13" t="str">
        <f>IF($B74="","",IFERROR(INDEX(Pegawai!$D:$D,MATCH($B74,Pegawai!$A:$A,0)),""))</f>
        <v/>
      </c>
      <c r="H74" s="13" t="str">
        <f>IF($B74="","",IF(ISNA(MATCH($B74,Pegawai!$A:$A,0)),"Nama tidak ada di daftar Pegawai",IF($A74="","Nomor SPD belum diisi",IF($C74="","Tempat tujuan kosong",IF(NOT(ISNUMBER($D74)),"Tanggal kosong/bukan tanggal",IF(COUNTIF($B$2:$B$200,$B74)&gt;6,"OK",IF(COUNTIFS($B$2:$B$200,$B74,$A$2:$A$200,"&lt;&gt;"&amp;$A74)&gt;0,"Nomor SPD berbeda untuk pegawai yang sama","OK")))))))</f>
        <v/>
      </c>
      <c r="I74" s="13" t="str">
        <f>IF($A74="","",IF(ISNUMBER(SEARCH("/",$A74)),$A74,IF(Kegiatan!$B$3="","(isi Tanggal dikeluarkan)",$A74&amp;"/"&amp;Kegiatan!$B$15&amp;"/"&amp;ROMAN(MONTH(Kegiatan!$B$3))&amp;"/"&amp;YEAR(Kegiatan!$B$3))))</f>
        <v/>
      </c>
    </row>
    <row r="75" spans="1:9" x14ac:dyDescent="0.3">
      <c r="A75" s="8"/>
      <c r="B75" s="8"/>
      <c r="C75" s="8"/>
      <c r="D75" s="12"/>
      <c r="E75" s="13" t="str">
        <f>IF($B75="","",IFERROR(INDEX(Pegawai!$B:$B,MATCH($B75,Pegawai!$A:$A,0)),""))</f>
        <v/>
      </c>
      <c r="F75" s="13" t="str">
        <f>IF($B75="","",IFERROR(INDEX(Pegawai!$C:$C,MATCH($B75,Pegawai!$A:$A,0)),""))</f>
        <v/>
      </c>
      <c r="G75" s="13" t="str">
        <f>IF($B75="","",IFERROR(INDEX(Pegawai!$D:$D,MATCH($B75,Pegawai!$A:$A,0)),""))</f>
        <v/>
      </c>
      <c r="H75" s="13" t="str">
        <f>IF($B75="","",IF(ISNA(MATCH($B75,Pegawai!$A:$A,0)),"Nama tidak ada di daftar Pegawai",IF($A75="","Nomor SPD belum diisi",IF($C75="","Tempat tujuan kosong",IF(NOT(ISNUMBER($D75)),"Tanggal kosong/bukan tanggal",IF(COUNTIF($B$2:$B$200,$B75)&gt;6,"OK",IF(COUNTIFS($B$2:$B$200,$B75,$A$2:$A$200,"&lt;&gt;"&amp;$A75)&gt;0,"Nomor SPD berbeda untuk pegawai yang sama","OK")))))))</f>
        <v/>
      </c>
      <c r="I75" s="13" t="str">
        <f>IF($A75="","",IF(ISNUMBER(SEARCH("/",$A75)),$A75,IF(Kegiatan!$B$3="","(isi Tanggal dikeluarkan)",$A75&amp;"/"&amp;Kegiatan!$B$15&amp;"/"&amp;ROMAN(MONTH(Kegiatan!$B$3))&amp;"/"&amp;YEAR(Kegiatan!$B$3))))</f>
        <v/>
      </c>
    </row>
    <row r="76" spans="1:9" x14ac:dyDescent="0.3">
      <c r="A76" s="8"/>
      <c r="B76" s="8"/>
      <c r="C76" s="8"/>
      <c r="D76" s="12"/>
      <c r="E76" s="13" t="str">
        <f>IF($B76="","",IFERROR(INDEX(Pegawai!$B:$B,MATCH($B76,Pegawai!$A:$A,0)),""))</f>
        <v/>
      </c>
      <c r="F76" s="13" t="str">
        <f>IF($B76="","",IFERROR(INDEX(Pegawai!$C:$C,MATCH($B76,Pegawai!$A:$A,0)),""))</f>
        <v/>
      </c>
      <c r="G76" s="13" t="str">
        <f>IF($B76="","",IFERROR(INDEX(Pegawai!$D:$D,MATCH($B76,Pegawai!$A:$A,0)),""))</f>
        <v/>
      </c>
      <c r="H76" s="13" t="str">
        <f>IF($B76="","",IF(ISNA(MATCH($B76,Pegawai!$A:$A,0)),"Nama tidak ada di daftar Pegawai",IF($A76="","Nomor SPD belum diisi",IF($C76="","Tempat tujuan kosong",IF(NOT(ISNUMBER($D76)),"Tanggal kosong/bukan tanggal",IF(COUNTIF($B$2:$B$200,$B76)&gt;6,"OK",IF(COUNTIFS($B$2:$B$200,$B76,$A$2:$A$200,"&lt;&gt;"&amp;$A76)&gt;0,"Nomor SPD berbeda untuk pegawai yang sama","OK")))))))</f>
        <v/>
      </c>
      <c r="I76" s="13" t="str">
        <f>IF($A76="","",IF(ISNUMBER(SEARCH("/",$A76)),$A76,IF(Kegiatan!$B$3="","(isi Tanggal dikeluarkan)",$A76&amp;"/"&amp;Kegiatan!$B$15&amp;"/"&amp;ROMAN(MONTH(Kegiatan!$B$3))&amp;"/"&amp;YEAR(Kegiatan!$B$3))))</f>
        <v/>
      </c>
    </row>
    <row r="77" spans="1:9" x14ac:dyDescent="0.3">
      <c r="A77" s="8"/>
      <c r="B77" s="8"/>
      <c r="C77" s="8"/>
      <c r="D77" s="12"/>
      <c r="E77" s="13" t="str">
        <f>IF($B77="","",IFERROR(INDEX(Pegawai!$B:$B,MATCH($B77,Pegawai!$A:$A,0)),""))</f>
        <v/>
      </c>
      <c r="F77" s="13" t="str">
        <f>IF($B77="","",IFERROR(INDEX(Pegawai!$C:$C,MATCH($B77,Pegawai!$A:$A,0)),""))</f>
        <v/>
      </c>
      <c r="G77" s="13" t="str">
        <f>IF($B77="","",IFERROR(INDEX(Pegawai!$D:$D,MATCH($B77,Pegawai!$A:$A,0)),""))</f>
        <v/>
      </c>
      <c r="H77" s="13" t="str">
        <f>IF($B77="","",IF(ISNA(MATCH($B77,Pegawai!$A:$A,0)),"Nama tidak ada di daftar Pegawai",IF($A77="","Nomor SPD belum diisi",IF($C77="","Tempat tujuan kosong",IF(NOT(ISNUMBER($D77)),"Tanggal kosong/bukan tanggal",IF(COUNTIF($B$2:$B$200,$B77)&gt;6,"OK",IF(COUNTIFS($B$2:$B$200,$B77,$A$2:$A$200,"&lt;&gt;"&amp;$A77)&gt;0,"Nomor SPD berbeda untuk pegawai yang sama","OK")))))))</f>
        <v/>
      </c>
      <c r="I77" s="13" t="str">
        <f>IF($A77="","",IF(ISNUMBER(SEARCH("/",$A77)),$A77,IF(Kegiatan!$B$3="","(isi Tanggal dikeluarkan)",$A77&amp;"/"&amp;Kegiatan!$B$15&amp;"/"&amp;ROMAN(MONTH(Kegiatan!$B$3))&amp;"/"&amp;YEAR(Kegiatan!$B$3))))</f>
        <v/>
      </c>
    </row>
    <row r="78" spans="1:9" x14ac:dyDescent="0.3">
      <c r="A78" s="8"/>
      <c r="B78" s="8"/>
      <c r="C78" s="8"/>
      <c r="D78" s="12"/>
      <c r="E78" s="13" t="str">
        <f>IF($B78="","",IFERROR(INDEX(Pegawai!$B:$B,MATCH($B78,Pegawai!$A:$A,0)),""))</f>
        <v/>
      </c>
      <c r="F78" s="13" t="str">
        <f>IF($B78="","",IFERROR(INDEX(Pegawai!$C:$C,MATCH($B78,Pegawai!$A:$A,0)),""))</f>
        <v/>
      </c>
      <c r="G78" s="13" t="str">
        <f>IF($B78="","",IFERROR(INDEX(Pegawai!$D:$D,MATCH($B78,Pegawai!$A:$A,0)),""))</f>
        <v/>
      </c>
      <c r="H78" s="13" t="str">
        <f>IF($B78="","",IF(ISNA(MATCH($B78,Pegawai!$A:$A,0)),"Nama tidak ada di daftar Pegawai",IF($A78="","Nomor SPD belum diisi",IF($C78="","Tempat tujuan kosong",IF(NOT(ISNUMBER($D78)),"Tanggal kosong/bukan tanggal",IF(COUNTIF($B$2:$B$200,$B78)&gt;6,"OK",IF(COUNTIFS($B$2:$B$200,$B78,$A$2:$A$200,"&lt;&gt;"&amp;$A78)&gt;0,"Nomor SPD berbeda untuk pegawai yang sama","OK")))))))</f>
        <v/>
      </c>
      <c r="I78" s="13" t="str">
        <f>IF($A78="","",IF(ISNUMBER(SEARCH("/",$A78)),$A78,IF(Kegiatan!$B$3="","(isi Tanggal dikeluarkan)",$A78&amp;"/"&amp;Kegiatan!$B$15&amp;"/"&amp;ROMAN(MONTH(Kegiatan!$B$3))&amp;"/"&amp;YEAR(Kegiatan!$B$3))))</f>
        <v/>
      </c>
    </row>
    <row r="79" spans="1:9" x14ac:dyDescent="0.3">
      <c r="A79" s="8"/>
      <c r="B79" s="8"/>
      <c r="C79" s="8"/>
      <c r="D79" s="12"/>
      <c r="E79" s="13" t="str">
        <f>IF($B79="","",IFERROR(INDEX(Pegawai!$B:$B,MATCH($B79,Pegawai!$A:$A,0)),""))</f>
        <v/>
      </c>
      <c r="F79" s="13" t="str">
        <f>IF($B79="","",IFERROR(INDEX(Pegawai!$C:$C,MATCH($B79,Pegawai!$A:$A,0)),""))</f>
        <v/>
      </c>
      <c r="G79" s="13" t="str">
        <f>IF($B79="","",IFERROR(INDEX(Pegawai!$D:$D,MATCH($B79,Pegawai!$A:$A,0)),""))</f>
        <v/>
      </c>
      <c r="H79" s="13" t="str">
        <f>IF($B79="","",IF(ISNA(MATCH($B79,Pegawai!$A:$A,0)),"Nama tidak ada di daftar Pegawai",IF($A79="","Nomor SPD belum diisi",IF($C79="","Tempat tujuan kosong",IF(NOT(ISNUMBER($D79)),"Tanggal kosong/bukan tanggal",IF(COUNTIF($B$2:$B$200,$B79)&gt;6,"OK",IF(COUNTIFS($B$2:$B$200,$B79,$A$2:$A$200,"&lt;&gt;"&amp;$A79)&gt;0,"Nomor SPD berbeda untuk pegawai yang sama","OK")))))))</f>
        <v/>
      </c>
      <c r="I79" s="13" t="str">
        <f>IF($A79="","",IF(ISNUMBER(SEARCH("/",$A79)),$A79,IF(Kegiatan!$B$3="","(isi Tanggal dikeluarkan)",$A79&amp;"/"&amp;Kegiatan!$B$15&amp;"/"&amp;ROMAN(MONTH(Kegiatan!$B$3))&amp;"/"&amp;YEAR(Kegiatan!$B$3))))</f>
        <v/>
      </c>
    </row>
    <row r="80" spans="1:9" x14ac:dyDescent="0.3">
      <c r="A80" s="8"/>
      <c r="B80" s="8"/>
      <c r="C80" s="8"/>
      <c r="D80" s="12"/>
      <c r="E80" s="13" t="str">
        <f>IF($B80="","",IFERROR(INDEX(Pegawai!$B:$B,MATCH($B80,Pegawai!$A:$A,0)),""))</f>
        <v/>
      </c>
      <c r="F80" s="13" t="str">
        <f>IF($B80="","",IFERROR(INDEX(Pegawai!$C:$C,MATCH($B80,Pegawai!$A:$A,0)),""))</f>
        <v/>
      </c>
      <c r="G80" s="13" t="str">
        <f>IF($B80="","",IFERROR(INDEX(Pegawai!$D:$D,MATCH($B80,Pegawai!$A:$A,0)),""))</f>
        <v/>
      </c>
      <c r="H80" s="13" t="str">
        <f>IF($B80="","",IF(ISNA(MATCH($B80,Pegawai!$A:$A,0)),"Nama tidak ada di daftar Pegawai",IF($A80="","Nomor SPD belum diisi",IF($C80="","Tempat tujuan kosong",IF(NOT(ISNUMBER($D80)),"Tanggal kosong/bukan tanggal",IF(COUNTIF($B$2:$B$200,$B80)&gt;6,"OK",IF(COUNTIFS($B$2:$B$200,$B80,$A$2:$A$200,"&lt;&gt;"&amp;$A80)&gt;0,"Nomor SPD berbeda untuk pegawai yang sama","OK")))))))</f>
        <v/>
      </c>
      <c r="I80" s="13" t="str">
        <f>IF($A80="","",IF(ISNUMBER(SEARCH("/",$A80)),$A80,IF(Kegiatan!$B$3="","(isi Tanggal dikeluarkan)",$A80&amp;"/"&amp;Kegiatan!$B$15&amp;"/"&amp;ROMAN(MONTH(Kegiatan!$B$3))&amp;"/"&amp;YEAR(Kegiatan!$B$3))))</f>
        <v/>
      </c>
    </row>
    <row r="81" spans="1:9" x14ac:dyDescent="0.3">
      <c r="A81" s="8"/>
      <c r="B81" s="8"/>
      <c r="C81" s="8"/>
      <c r="D81" s="12"/>
      <c r="E81" s="13" t="str">
        <f>IF($B81="","",IFERROR(INDEX(Pegawai!$B:$B,MATCH($B81,Pegawai!$A:$A,0)),""))</f>
        <v/>
      </c>
      <c r="F81" s="13" t="str">
        <f>IF($B81="","",IFERROR(INDEX(Pegawai!$C:$C,MATCH($B81,Pegawai!$A:$A,0)),""))</f>
        <v/>
      </c>
      <c r="G81" s="13" t="str">
        <f>IF($B81="","",IFERROR(INDEX(Pegawai!$D:$D,MATCH($B81,Pegawai!$A:$A,0)),""))</f>
        <v/>
      </c>
      <c r="H81" s="13" t="str">
        <f>IF($B81="","",IF(ISNA(MATCH($B81,Pegawai!$A:$A,0)),"Nama tidak ada di daftar Pegawai",IF($A81="","Nomor SPD belum diisi",IF($C81="","Tempat tujuan kosong",IF(NOT(ISNUMBER($D81)),"Tanggal kosong/bukan tanggal",IF(COUNTIF($B$2:$B$200,$B81)&gt;6,"OK",IF(COUNTIFS($B$2:$B$200,$B81,$A$2:$A$200,"&lt;&gt;"&amp;$A81)&gt;0,"Nomor SPD berbeda untuk pegawai yang sama","OK")))))))</f>
        <v/>
      </c>
      <c r="I81" s="13" t="str">
        <f>IF($A81="","",IF(ISNUMBER(SEARCH("/",$A81)),$A81,IF(Kegiatan!$B$3="","(isi Tanggal dikeluarkan)",$A81&amp;"/"&amp;Kegiatan!$B$15&amp;"/"&amp;ROMAN(MONTH(Kegiatan!$B$3))&amp;"/"&amp;YEAR(Kegiatan!$B$3))))</f>
        <v/>
      </c>
    </row>
    <row r="82" spans="1:9" x14ac:dyDescent="0.3">
      <c r="A82" s="8"/>
      <c r="B82" s="8"/>
      <c r="C82" s="8"/>
      <c r="D82" s="12"/>
      <c r="E82" s="13" t="str">
        <f>IF($B82="","",IFERROR(INDEX(Pegawai!$B:$B,MATCH($B82,Pegawai!$A:$A,0)),""))</f>
        <v/>
      </c>
      <c r="F82" s="13" t="str">
        <f>IF($B82="","",IFERROR(INDEX(Pegawai!$C:$C,MATCH($B82,Pegawai!$A:$A,0)),""))</f>
        <v/>
      </c>
      <c r="G82" s="13" t="str">
        <f>IF($B82="","",IFERROR(INDEX(Pegawai!$D:$D,MATCH($B82,Pegawai!$A:$A,0)),""))</f>
        <v/>
      </c>
      <c r="H82" s="13" t="str">
        <f>IF($B82="","",IF(ISNA(MATCH($B82,Pegawai!$A:$A,0)),"Nama tidak ada di daftar Pegawai",IF($A82="","Nomor SPD belum diisi",IF($C82="","Tempat tujuan kosong",IF(NOT(ISNUMBER($D82)),"Tanggal kosong/bukan tanggal",IF(COUNTIF($B$2:$B$200,$B82)&gt;6,"OK",IF(COUNTIFS($B$2:$B$200,$B82,$A$2:$A$200,"&lt;&gt;"&amp;$A82)&gt;0,"Nomor SPD berbeda untuk pegawai yang sama","OK")))))))</f>
        <v/>
      </c>
      <c r="I82" s="13" t="str">
        <f>IF($A82="","",IF(ISNUMBER(SEARCH("/",$A82)),$A82,IF(Kegiatan!$B$3="","(isi Tanggal dikeluarkan)",$A82&amp;"/"&amp;Kegiatan!$B$15&amp;"/"&amp;ROMAN(MONTH(Kegiatan!$B$3))&amp;"/"&amp;YEAR(Kegiatan!$B$3))))</f>
        <v/>
      </c>
    </row>
    <row r="83" spans="1:9" x14ac:dyDescent="0.3">
      <c r="A83" s="8"/>
      <c r="B83" s="8"/>
      <c r="C83" s="8"/>
      <c r="D83" s="12"/>
      <c r="E83" s="13" t="str">
        <f>IF($B83="","",IFERROR(INDEX(Pegawai!$B:$B,MATCH($B83,Pegawai!$A:$A,0)),""))</f>
        <v/>
      </c>
      <c r="F83" s="13" t="str">
        <f>IF($B83="","",IFERROR(INDEX(Pegawai!$C:$C,MATCH($B83,Pegawai!$A:$A,0)),""))</f>
        <v/>
      </c>
      <c r="G83" s="13" t="str">
        <f>IF($B83="","",IFERROR(INDEX(Pegawai!$D:$D,MATCH($B83,Pegawai!$A:$A,0)),""))</f>
        <v/>
      </c>
      <c r="H83" s="13" t="str">
        <f>IF($B83="","",IF(ISNA(MATCH($B83,Pegawai!$A:$A,0)),"Nama tidak ada di daftar Pegawai",IF($A83="","Nomor SPD belum diisi",IF($C83="","Tempat tujuan kosong",IF(NOT(ISNUMBER($D83)),"Tanggal kosong/bukan tanggal",IF(COUNTIF($B$2:$B$200,$B83)&gt;6,"OK",IF(COUNTIFS($B$2:$B$200,$B83,$A$2:$A$200,"&lt;&gt;"&amp;$A83)&gt;0,"Nomor SPD berbeda untuk pegawai yang sama","OK")))))))</f>
        <v/>
      </c>
      <c r="I83" s="13" t="str">
        <f>IF($A83="","",IF(ISNUMBER(SEARCH("/",$A83)),$A83,IF(Kegiatan!$B$3="","(isi Tanggal dikeluarkan)",$A83&amp;"/"&amp;Kegiatan!$B$15&amp;"/"&amp;ROMAN(MONTH(Kegiatan!$B$3))&amp;"/"&amp;YEAR(Kegiatan!$B$3))))</f>
        <v/>
      </c>
    </row>
    <row r="84" spans="1:9" x14ac:dyDescent="0.3">
      <c r="A84" s="8"/>
      <c r="B84" s="8"/>
      <c r="C84" s="8"/>
      <c r="D84" s="12"/>
      <c r="E84" s="13" t="str">
        <f>IF($B84="","",IFERROR(INDEX(Pegawai!$B:$B,MATCH($B84,Pegawai!$A:$A,0)),""))</f>
        <v/>
      </c>
      <c r="F84" s="13" t="str">
        <f>IF($B84="","",IFERROR(INDEX(Pegawai!$C:$C,MATCH($B84,Pegawai!$A:$A,0)),""))</f>
        <v/>
      </c>
      <c r="G84" s="13" t="str">
        <f>IF($B84="","",IFERROR(INDEX(Pegawai!$D:$D,MATCH($B84,Pegawai!$A:$A,0)),""))</f>
        <v/>
      </c>
      <c r="H84" s="13" t="str">
        <f>IF($B84="","",IF(ISNA(MATCH($B84,Pegawai!$A:$A,0)),"Nama tidak ada di daftar Pegawai",IF($A84="","Nomor SPD belum diisi",IF($C84="","Tempat tujuan kosong",IF(NOT(ISNUMBER($D84)),"Tanggal kosong/bukan tanggal",IF(COUNTIF($B$2:$B$200,$B84)&gt;6,"OK",IF(COUNTIFS($B$2:$B$200,$B84,$A$2:$A$200,"&lt;&gt;"&amp;$A84)&gt;0,"Nomor SPD berbeda untuk pegawai yang sama","OK")))))))</f>
        <v/>
      </c>
      <c r="I84" s="13" t="str">
        <f>IF($A84="","",IF(ISNUMBER(SEARCH("/",$A84)),$A84,IF(Kegiatan!$B$3="","(isi Tanggal dikeluarkan)",$A84&amp;"/"&amp;Kegiatan!$B$15&amp;"/"&amp;ROMAN(MONTH(Kegiatan!$B$3))&amp;"/"&amp;YEAR(Kegiatan!$B$3))))</f>
        <v/>
      </c>
    </row>
    <row r="85" spans="1:9" x14ac:dyDescent="0.3">
      <c r="A85" s="8"/>
      <c r="B85" s="8"/>
      <c r="C85" s="8"/>
      <c r="D85" s="12"/>
      <c r="E85" s="13" t="str">
        <f>IF($B85="","",IFERROR(INDEX(Pegawai!$B:$B,MATCH($B85,Pegawai!$A:$A,0)),""))</f>
        <v/>
      </c>
      <c r="F85" s="13" t="str">
        <f>IF($B85="","",IFERROR(INDEX(Pegawai!$C:$C,MATCH($B85,Pegawai!$A:$A,0)),""))</f>
        <v/>
      </c>
      <c r="G85" s="13" t="str">
        <f>IF($B85="","",IFERROR(INDEX(Pegawai!$D:$D,MATCH($B85,Pegawai!$A:$A,0)),""))</f>
        <v/>
      </c>
      <c r="H85" s="13" t="str">
        <f>IF($B85="","",IF(ISNA(MATCH($B85,Pegawai!$A:$A,0)),"Nama tidak ada di daftar Pegawai",IF($A85="","Nomor SPD belum diisi",IF($C85="","Tempat tujuan kosong",IF(NOT(ISNUMBER($D85)),"Tanggal kosong/bukan tanggal",IF(COUNTIF($B$2:$B$200,$B85)&gt;6,"OK",IF(COUNTIFS($B$2:$B$200,$B85,$A$2:$A$200,"&lt;&gt;"&amp;$A85)&gt;0,"Nomor SPD berbeda untuk pegawai yang sama","OK")))))))</f>
        <v/>
      </c>
      <c r="I85" s="13" t="str">
        <f>IF($A85="","",IF(ISNUMBER(SEARCH("/",$A85)),$A85,IF(Kegiatan!$B$3="","(isi Tanggal dikeluarkan)",$A85&amp;"/"&amp;Kegiatan!$B$15&amp;"/"&amp;ROMAN(MONTH(Kegiatan!$B$3))&amp;"/"&amp;YEAR(Kegiatan!$B$3))))</f>
        <v/>
      </c>
    </row>
    <row r="86" spans="1:9" x14ac:dyDescent="0.3">
      <c r="A86" s="8"/>
      <c r="B86" s="8"/>
      <c r="C86" s="8"/>
      <c r="D86" s="12"/>
      <c r="E86" s="13" t="str">
        <f>IF($B86="","",IFERROR(INDEX(Pegawai!$B:$B,MATCH($B86,Pegawai!$A:$A,0)),""))</f>
        <v/>
      </c>
      <c r="F86" s="13" t="str">
        <f>IF($B86="","",IFERROR(INDEX(Pegawai!$C:$C,MATCH($B86,Pegawai!$A:$A,0)),""))</f>
        <v/>
      </c>
      <c r="G86" s="13" t="str">
        <f>IF($B86="","",IFERROR(INDEX(Pegawai!$D:$D,MATCH($B86,Pegawai!$A:$A,0)),""))</f>
        <v/>
      </c>
      <c r="H86" s="13" t="str">
        <f>IF($B86="","",IF(ISNA(MATCH($B86,Pegawai!$A:$A,0)),"Nama tidak ada di daftar Pegawai",IF($A86="","Nomor SPD belum diisi",IF($C86="","Tempat tujuan kosong",IF(NOT(ISNUMBER($D86)),"Tanggal kosong/bukan tanggal",IF(COUNTIF($B$2:$B$200,$B86)&gt;6,"OK",IF(COUNTIFS($B$2:$B$200,$B86,$A$2:$A$200,"&lt;&gt;"&amp;$A86)&gt;0,"Nomor SPD berbeda untuk pegawai yang sama","OK")))))))</f>
        <v/>
      </c>
      <c r="I86" s="13" t="str">
        <f>IF($A86="","",IF(ISNUMBER(SEARCH("/",$A86)),$A86,IF(Kegiatan!$B$3="","(isi Tanggal dikeluarkan)",$A86&amp;"/"&amp;Kegiatan!$B$15&amp;"/"&amp;ROMAN(MONTH(Kegiatan!$B$3))&amp;"/"&amp;YEAR(Kegiatan!$B$3))))</f>
        <v/>
      </c>
    </row>
    <row r="87" spans="1:9" x14ac:dyDescent="0.3">
      <c r="A87" s="8"/>
      <c r="B87" s="8"/>
      <c r="C87" s="8"/>
      <c r="D87" s="12"/>
      <c r="E87" s="13" t="str">
        <f>IF($B87="","",IFERROR(INDEX(Pegawai!$B:$B,MATCH($B87,Pegawai!$A:$A,0)),""))</f>
        <v/>
      </c>
      <c r="F87" s="13" t="str">
        <f>IF($B87="","",IFERROR(INDEX(Pegawai!$C:$C,MATCH($B87,Pegawai!$A:$A,0)),""))</f>
        <v/>
      </c>
      <c r="G87" s="13" t="str">
        <f>IF($B87="","",IFERROR(INDEX(Pegawai!$D:$D,MATCH($B87,Pegawai!$A:$A,0)),""))</f>
        <v/>
      </c>
      <c r="H87" s="13" t="str">
        <f>IF($B87="","",IF(ISNA(MATCH($B87,Pegawai!$A:$A,0)),"Nama tidak ada di daftar Pegawai",IF($A87="","Nomor SPD belum diisi",IF($C87="","Tempat tujuan kosong",IF(NOT(ISNUMBER($D87)),"Tanggal kosong/bukan tanggal",IF(COUNTIF($B$2:$B$200,$B87)&gt;6,"OK",IF(COUNTIFS($B$2:$B$200,$B87,$A$2:$A$200,"&lt;&gt;"&amp;$A87)&gt;0,"Nomor SPD berbeda untuk pegawai yang sama","OK")))))))</f>
        <v/>
      </c>
      <c r="I87" s="13" t="str">
        <f>IF($A87="","",IF(ISNUMBER(SEARCH("/",$A87)),$A87,IF(Kegiatan!$B$3="","(isi Tanggal dikeluarkan)",$A87&amp;"/"&amp;Kegiatan!$B$15&amp;"/"&amp;ROMAN(MONTH(Kegiatan!$B$3))&amp;"/"&amp;YEAR(Kegiatan!$B$3))))</f>
        <v/>
      </c>
    </row>
    <row r="88" spans="1:9" x14ac:dyDescent="0.3">
      <c r="A88" s="8"/>
      <c r="B88" s="8"/>
      <c r="C88" s="8"/>
      <c r="D88" s="12"/>
      <c r="E88" s="13" t="str">
        <f>IF($B88="","",IFERROR(INDEX(Pegawai!$B:$B,MATCH($B88,Pegawai!$A:$A,0)),""))</f>
        <v/>
      </c>
      <c r="F88" s="13" t="str">
        <f>IF($B88="","",IFERROR(INDEX(Pegawai!$C:$C,MATCH($B88,Pegawai!$A:$A,0)),""))</f>
        <v/>
      </c>
      <c r="G88" s="13" t="str">
        <f>IF($B88="","",IFERROR(INDEX(Pegawai!$D:$D,MATCH($B88,Pegawai!$A:$A,0)),""))</f>
        <v/>
      </c>
      <c r="H88" s="13" t="str">
        <f>IF($B88="","",IF(ISNA(MATCH($B88,Pegawai!$A:$A,0)),"Nama tidak ada di daftar Pegawai",IF($A88="","Nomor SPD belum diisi",IF($C88="","Tempat tujuan kosong",IF(NOT(ISNUMBER($D88)),"Tanggal kosong/bukan tanggal",IF(COUNTIF($B$2:$B$200,$B88)&gt;6,"OK",IF(COUNTIFS($B$2:$B$200,$B88,$A$2:$A$200,"&lt;&gt;"&amp;$A88)&gt;0,"Nomor SPD berbeda untuk pegawai yang sama","OK")))))))</f>
        <v/>
      </c>
      <c r="I88" s="13" t="str">
        <f>IF($A88="","",IF(ISNUMBER(SEARCH("/",$A88)),$A88,IF(Kegiatan!$B$3="","(isi Tanggal dikeluarkan)",$A88&amp;"/"&amp;Kegiatan!$B$15&amp;"/"&amp;ROMAN(MONTH(Kegiatan!$B$3))&amp;"/"&amp;YEAR(Kegiatan!$B$3))))</f>
        <v/>
      </c>
    </row>
    <row r="89" spans="1:9" x14ac:dyDescent="0.3">
      <c r="A89" s="8"/>
      <c r="B89" s="8"/>
      <c r="C89" s="8"/>
      <c r="D89" s="12"/>
      <c r="E89" s="13" t="str">
        <f>IF($B89="","",IFERROR(INDEX(Pegawai!$B:$B,MATCH($B89,Pegawai!$A:$A,0)),""))</f>
        <v/>
      </c>
      <c r="F89" s="13" t="str">
        <f>IF($B89="","",IFERROR(INDEX(Pegawai!$C:$C,MATCH($B89,Pegawai!$A:$A,0)),""))</f>
        <v/>
      </c>
      <c r="G89" s="13" t="str">
        <f>IF($B89="","",IFERROR(INDEX(Pegawai!$D:$D,MATCH($B89,Pegawai!$A:$A,0)),""))</f>
        <v/>
      </c>
      <c r="H89" s="13" t="str">
        <f>IF($B89="","",IF(ISNA(MATCH($B89,Pegawai!$A:$A,0)),"Nama tidak ada di daftar Pegawai",IF($A89="","Nomor SPD belum diisi",IF($C89="","Tempat tujuan kosong",IF(NOT(ISNUMBER($D89)),"Tanggal kosong/bukan tanggal",IF(COUNTIF($B$2:$B$200,$B89)&gt;6,"OK",IF(COUNTIFS($B$2:$B$200,$B89,$A$2:$A$200,"&lt;&gt;"&amp;$A89)&gt;0,"Nomor SPD berbeda untuk pegawai yang sama","OK")))))))</f>
        <v/>
      </c>
      <c r="I89" s="13" t="str">
        <f>IF($A89="","",IF(ISNUMBER(SEARCH("/",$A89)),$A89,IF(Kegiatan!$B$3="","(isi Tanggal dikeluarkan)",$A89&amp;"/"&amp;Kegiatan!$B$15&amp;"/"&amp;ROMAN(MONTH(Kegiatan!$B$3))&amp;"/"&amp;YEAR(Kegiatan!$B$3))))</f>
        <v/>
      </c>
    </row>
    <row r="90" spans="1:9" x14ac:dyDescent="0.3">
      <c r="A90" s="8"/>
      <c r="B90" s="8"/>
      <c r="C90" s="8"/>
      <c r="D90" s="12"/>
      <c r="E90" s="13" t="str">
        <f>IF($B90="","",IFERROR(INDEX(Pegawai!$B:$B,MATCH($B90,Pegawai!$A:$A,0)),""))</f>
        <v/>
      </c>
      <c r="F90" s="13" t="str">
        <f>IF($B90="","",IFERROR(INDEX(Pegawai!$C:$C,MATCH($B90,Pegawai!$A:$A,0)),""))</f>
        <v/>
      </c>
      <c r="G90" s="13" t="str">
        <f>IF($B90="","",IFERROR(INDEX(Pegawai!$D:$D,MATCH($B90,Pegawai!$A:$A,0)),""))</f>
        <v/>
      </c>
      <c r="H90" s="13" t="str">
        <f>IF($B90="","",IF(ISNA(MATCH($B90,Pegawai!$A:$A,0)),"Nama tidak ada di daftar Pegawai",IF($A90="","Nomor SPD belum diisi",IF($C90="","Tempat tujuan kosong",IF(NOT(ISNUMBER($D90)),"Tanggal kosong/bukan tanggal",IF(COUNTIF($B$2:$B$200,$B90)&gt;6,"OK",IF(COUNTIFS($B$2:$B$200,$B90,$A$2:$A$200,"&lt;&gt;"&amp;$A90)&gt;0,"Nomor SPD berbeda untuk pegawai yang sama","OK")))))))</f>
        <v/>
      </c>
      <c r="I90" s="13" t="str">
        <f>IF($A90="","",IF(ISNUMBER(SEARCH("/",$A90)),$A90,IF(Kegiatan!$B$3="","(isi Tanggal dikeluarkan)",$A90&amp;"/"&amp;Kegiatan!$B$15&amp;"/"&amp;ROMAN(MONTH(Kegiatan!$B$3))&amp;"/"&amp;YEAR(Kegiatan!$B$3))))</f>
        <v/>
      </c>
    </row>
    <row r="91" spans="1:9" x14ac:dyDescent="0.3">
      <c r="A91" s="8"/>
      <c r="B91" s="8"/>
      <c r="C91" s="8"/>
      <c r="D91" s="12"/>
      <c r="E91" s="13" t="str">
        <f>IF($B91="","",IFERROR(INDEX(Pegawai!$B:$B,MATCH($B91,Pegawai!$A:$A,0)),""))</f>
        <v/>
      </c>
      <c r="F91" s="13" t="str">
        <f>IF($B91="","",IFERROR(INDEX(Pegawai!$C:$C,MATCH($B91,Pegawai!$A:$A,0)),""))</f>
        <v/>
      </c>
      <c r="G91" s="13" t="str">
        <f>IF($B91="","",IFERROR(INDEX(Pegawai!$D:$D,MATCH($B91,Pegawai!$A:$A,0)),""))</f>
        <v/>
      </c>
      <c r="H91" s="13" t="str">
        <f>IF($B91="","",IF(ISNA(MATCH($B91,Pegawai!$A:$A,0)),"Nama tidak ada di daftar Pegawai",IF($A91="","Nomor SPD belum diisi",IF($C91="","Tempat tujuan kosong",IF(NOT(ISNUMBER($D91)),"Tanggal kosong/bukan tanggal",IF(COUNTIF($B$2:$B$200,$B91)&gt;6,"OK",IF(COUNTIFS($B$2:$B$200,$B91,$A$2:$A$200,"&lt;&gt;"&amp;$A91)&gt;0,"Nomor SPD berbeda untuk pegawai yang sama","OK")))))))</f>
        <v/>
      </c>
      <c r="I91" s="13" t="str">
        <f>IF($A91="","",IF(ISNUMBER(SEARCH("/",$A91)),$A91,IF(Kegiatan!$B$3="","(isi Tanggal dikeluarkan)",$A91&amp;"/"&amp;Kegiatan!$B$15&amp;"/"&amp;ROMAN(MONTH(Kegiatan!$B$3))&amp;"/"&amp;YEAR(Kegiatan!$B$3))))</f>
        <v/>
      </c>
    </row>
    <row r="92" spans="1:9" x14ac:dyDescent="0.3">
      <c r="A92" s="8"/>
      <c r="B92" s="8"/>
      <c r="C92" s="8"/>
      <c r="D92" s="12"/>
      <c r="E92" s="13" t="str">
        <f>IF($B92="","",IFERROR(INDEX(Pegawai!$B:$B,MATCH($B92,Pegawai!$A:$A,0)),""))</f>
        <v/>
      </c>
      <c r="F92" s="13" t="str">
        <f>IF($B92="","",IFERROR(INDEX(Pegawai!$C:$C,MATCH($B92,Pegawai!$A:$A,0)),""))</f>
        <v/>
      </c>
      <c r="G92" s="13" t="str">
        <f>IF($B92="","",IFERROR(INDEX(Pegawai!$D:$D,MATCH($B92,Pegawai!$A:$A,0)),""))</f>
        <v/>
      </c>
      <c r="H92" s="13" t="str">
        <f>IF($B92="","",IF(ISNA(MATCH($B92,Pegawai!$A:$A,0)),"Nama tidak ada di daftar Pegawai",IF($A92="","Nomor SPD belum diisi",IF($C92="","Tempat tujuan kosong",IF(NOT(ISNUMBER($D92)),"Tanggal kosong/bukan tanggal",IF(COUNTIF($B$2:$B$200,$B92)&gt;6,"OK",IF(COUNTIFS($B$2:$B$200,$B92,$A$2:$A$200,"&lt;&gt;"&amp;$A92)&gt;0,"Nomor SPD berbeda untuk pegawai yang sama","OK")))))))</f>
        <v/>
      </c>
      <c r="I92" s="13" t="str">
        <f>IF($A92="","",IF(ISNUMBER(SEARCH("/",$A92)),$A92,IF(Kegiatan!$B$3="","(isi Tanggal dikeluarkan)",$A92&amp;"/"&amp;Kegiatan!$B$15&amp;"/"&amp;ROMAN(MONTH(Kegiatan!$B$3))&amp;"/"&amp;YEAR(Kegiatan!$B$3))))</f>
        <v/>
      </c>
    </row>
    <row r="93" spans="1:9" x14ac:dyDescent="0.3">
      <c r="A93" s="8"/>
      <c r="B93" s="8"/>
      <c r="C93" s="8"/>
      <c r="D93" s="12"/>
      <c r="E93" s="13" t="str">
        <f>IF($B93="","",IFERROR(INDEX(Pegawai!$B:$B,MATCH($B93,Pegawai!$A:$A,0)),""))</f>
        <v/>
      </c>
      <c r="F93" s="13" t="str">
        <f>IF($B93="","",IFERROR(INDEX(Pegawai!$C:$C,MATCH($B93,Pegawai!$A:$A,0)),""))</f>
        <v/>
      </c>
      <c r="G93" s="13" t="str">
        <f>IF($B93="","",IFERROR(INDEX(Pegawai!$D:$D,MATCH($B93,Pegawai!$A:$A,0)),""))</f>
        <v/>
      </c>
      <c r="H93" s="13" t="str">
        <f>IF($B93="","",IF(ISNA(MATCH($B93,Pegawai!$A:$A,0)),"Nama tidak ada di daftar Pegawai",IF($A93="","Nomor SPD belum diisi",IF($C93="","Tempat tujuan kosong",IF(NOT(ISNUMBER($D93)),"Tanggal kosong/bukan tanggal",IF(COUNTIF($B$2:$B$200,$B93)&gt;6,"OK",IF(COUNTIFS($B$2:$B$200,$B93,$A$2:$A$200,"&lt;&gt;"&amp;$A93)&gt;0,"Nomor SPD berbeda untuk pegawai yang sama","OK")))))))</f>
        <v/>
      </c>
      <c r="I93" s="13" t="str">
        <f>IF($A93="","",IF(ISNUMBER(SEARCH("/",$A93)),$A93,IF(Kegiatan!$B$3="","(isi Tanggal dikeluarkan)",$A93&amp;"/"&amp;Kegiatan!$B$15&amp;"/"&amp;ROMAN(MONTH(Kegiatan!$B$3))&amp;"/"&amp;YEAR(Kegiatan!$B$3))))</f>
        <v/>
      </c>
    </row>
    <row r="94" spans="1:9" x14ac:dyDescent="0.3">
      <c r="A94" s="8"/>
      <c r="B94" s="8"/>
      <c r="C94" s="8"/>
      <c r="D94" s="12"/>
      <c r="E94" s="13" t="str">
        <f>IF($B94="","",IFERROR(INDEX(Pegawai!$B:$B,MATCH($B94,Pegawai!$A:$A,0)),""))</f>
        <v/>
      </c>
      <c r="F94" s="13" t="str">
        <f>IF($B94="","",IFERROR(INDEX(Pegawai!$C:$C,MATCH($B94,Pegawai!$A:$A,0)),""))</f>
        <v/>
      </c>
      <c r="G94" s="13" t="str">
        <f>IF($B94="","",IFERROR(INDEX(Pegawai!$D:$D,MATCH($B94,Pegawai!$A:$A,0)),""))</f>
        <v/>
      </c>
      <c r="H94" s="13" t="str">
        <f>IF($B94="","",IF(ISNA(MATCH($B94,Pegawai!$A:$A,0)),"Nama tidak ada di daftar Pegawai",IF($A94="","Nomor SPD belum diisi",IF($C94="","Tempat tujuan kosong",IF(NOT(ISNUMBER($D94)),"Tanggal kosong/bukan tanggal",IF(COUNTIF($B$2:$B$200,$B94)&gt;6,"OK",IF(COUNTIFS($B$2:$B$200,$B94,$A$2:$A$200,"&lt;&gt;"&amp;$A94)&gt;0,"Nomor SPD berbeda untuk pegawai yang sama","OK")))))))</f>
        <v/>
      </c>
      <c r="I94" s="13" t="str">
        <f>IF($A94="","",IF(ISNUMBER(SEARCH("/",$A94)),$A94,IF(Kegiatan!$B$3="","(isi Tanggal dikeluarkan)",$A94&amp;"/"&amp;Kegiatan!$B$15&amp;"/"&amp;ROMAN(MONTH(Kegiatan!$B$3))&amp;"/"&amp;YEAR(Kegiatan!$B$3))))</f>
        <v/>
      </c>
    </row>
    <row r="95" spans="1:9" x14ac:dyDescent="0.3">
      <c r="A95" s="8"/>
      <c r="B95" s="8"/>
      <c r="C95" s="8"/>
      <c r="D95" s="12"/>
      <c r="E95" s="13" t="str">
        <f>IF($B95="","",IFERROR(INDEX(Pegawai!$B:$B,MATCH($B95,Pegawai!$A:$A,0)),""))</f>
        <v/>
      </c>
      <c r="F95" s="13" t="str">
        <f>IF($B95="","",IFERROR(INDEX(Pegawai!$C:$C,MATCH($B95,Pegawai!$A:$A,0)),""))</f>
        <v/>
      </c>
      <c r="G95" s="13" t="str">
        <f>IF($B95="","",IFERROR(INDEX(Pegawai!$D:$D,MATCH($B95,Pegawai!$A:$A,0)),""))</f>
        <v/>
      </c>
      <c r="H95" s="13" t="str">
        <f>IF($B95="","",IF(ISNA(MATCH($B95,Pegawai!$A:$A,0)),"Nama tidak ada di daftar Pegawai",IF($A95="","Nomor SPD belum diisi",IF($C95="","Tempat tujuan kosong",IF(NOT(ISNUMBER($D95)),"Tanggal kosong/bukan tanggal",IF(COUNTIF($B$2:$B$200,$B95)&gt;6,"OK",IF(COUNTIFS($B$2:$B$200,$B95,$A$2:$A$200,"&lt;&gt;"&amp;$A95)&gt;0,"Nomor SPD berbeda untuk pegawai yang sama","OK")))))))</f>
        <v/>
      </c>
      <c r="I95" s="13" t="str">
        <f>IF($A95="","",IF(ISNUMBER(SEARCH("/",$A95)),$A95,IF(Kegiatan!$B$3="","(isi Tanggal dikeluarkan)",$A95&amp;"/"&amp;Kegiatan!$B$15&amp;"/"&amp;ROMAN(MONTH(Kegiatan!$B$3))&amp;"/"&amp;YEAR(Kegiatan!$B$3))))</f>
        <v/>
      </c>
    </row>
    <row r="96" spans="1:9" x14ac:dyDescent="0.3">
      <c r="A96" s="8"/>
      <c r="B96" s="8"/>
      <c r="C96" s="8"/>
      <c r="D96" s="12"/>
      <c r="E96" s="13" t="str">
        <f>IF($B96="","",IFERROR(INDEX(Pegawai!$B:$B,MATCH($B96,Pegawai!$A:$A,0)),""))</f>
        <v/>
      </c>
      <c r="F96" s="13" t="str">
        <f>IF($B96="","",IFERROR(INDEX(Pegawai!$C:$C,MATCH($B96,Pegawai!$A:$A,0)),""))</f>
        <v/>
      </c>
      <c r="G96" s="13" t="str">
        <f>IF($B96="","",IFERROR(INDEX(Pegawai!$D:$D,MATCH($B96,Pegawai!$A:$A,0)),""))</f>
        <v/>
      </c>
      <c r="H96" s="13" t="str">
        <f>IF($B96="","",IF(ISNA(MATCH($B96,Pegawai!$A:$A,0)),"Nama tidak ada di daftar Pegawai",IF($A96="","Nomor SPD belum diisi",IF($C96="","Tempat tujuan kosong",IF(NOT(ISNUMBER($D96)),"Tanggal kosong/bukan tanggal",IF(COUNTIF($B$2:$B$200,$B96)&gt;6,"OK",IF(COUNTIFS($B$2:$B$200,$B96,$A$2:$A$200,"&lt;&gt;"&amp;$A96)&gt;0,"Nomor SPD berbeda untuk pegawai yang sama","OK")))))))</f>
        <v/>
      </c>
      <c r="I96" s="13" t="str">
        <f>IF($A96="","",IF(ISNUMBER(SEARCH("/",$A96)),$A96,IF(Kegiatan!$B$3="","(isi Tanggal dikeluarkan)",$A96&amp;"/"&amp;Kegiatan!$B$15&amp;"/"&amp;ROMAN(MONTH(Kegiatan!$B$3))&amp;"/"&amp;YEAR(Kegiatan!$B$3))))</f>
        <v/>
      </c>
    </row>
    <row r="97" spans="1:9" x14ac:dyDescent="0.3">
      <c r="A97" s="8"/>
      <c r="B97" s="8"/>
      <c r="C97" s="8"/>
      <c r="D97" s="12"/>
      <c r="E97" s="13" t="str">
        <f>IF($B97="","",IFERROR(INDEX(Pegawai!$B:$B,MATCH($B97,Pegawai!$A:$A,0)),""))</f>
        <v/>
      </c>
      <c r="F97" s="13" t="str">
        <f>IF($B97="","",IFERROR(INDEX(Pegawai!$C:$C,MATCH($B97,Pegawai!$A:$A,0)),""))</f>
        <v/>
      </c>
      <c r="G97" s="13" t="str">
        <f>IF($B97="","",IFERROR(INDEX(Pegawai!$D:$D,MATCH($B97,Pegawai!$A:$A,0)),""))</f>
        <v/>
      </c>
      <c r="H97" s="13" t="str">
        <f>IF($B97="","",IF(ISNA(MATCH($B97,Pegawai!$A:$A,0)),"Nama tidak ada di daftar Pegawai",IF($A97="","Nomor SPD belum diisi",IF($C97="","Tempat tujuan kosong",IF(NOT(ISNUMBER($D97)),"Tanggal kosong/bukan tanggal",IF(COUNTIF($B$2:$B$200,$B97)&gt;6,"OK",IF(COUNTIFS($B$2:$B$200,$B97,$A$2:$A$200,"&lt;&gt;"&amp;$A97)&gt;0,"Nomor SPD berbeda untuk pegawai yang sama","OK")))))))</f>
        <v/>
      </c>
      <c r="I97" s="13" t="str">
        <f>IF($A97="","",IF(ISNUMBER(SEARCH("/",$A97)),$A97,IF(Kegiatan!$B$3="","(isi Tanggal dikeluarkan)",$A97&amp;"/"&amp;Kegiatan!$B$15&amp;"/"&amp;ROMAN(MONTH(Kegiatan!$B$3))&amp;"/"&amp;YEAR(Kegiatan!$B$3))))</f>
        <v/>
      </c>
    </row>
    <row r="98" spans="1:9" x14ac:dyDescent="0.3">
      <c r="A98" s="8"/>
      <c r="B98" s="8"/>
      <c r="C98" s="8"/>
      <c r="D98" s="12"/>
      <c r="E98" s="13" t="str">
        <f>IF($B98="","",IFERROR(INDEX(Pegawai!$B:$B,MATCH($B98,Pegawai!$A:$A,0)),""))</f>
        <v/>
      </c>
      <c r="F98" s="13" t="str">
        <f>IF($B98="","",IFERROR(INDEX(Pegawai!$C:$C,MATCH($B98,Pegawai!$A:$A,0)),""))</f>
        <v/>
      </c>
      <c r="G98" s="13" t="str">
        <f>IF($B98="","",IFERROR(INDEX(Pegawai!$D:$D,MATCH($B98,Pegawai!$A:$A,0)),""))</f>
        <v/>
      </c>
      <c r="H98" s="13" t="str">
        <f>IF($B98="","",IF(ISNA(MATCH($B98,Pegawai!$A:$A,0)),"Nama tidak ada di daftar Pegawai",IF($A98="","Nomor SPD belum diisi",IF($C98="","Tempat tujuan kosong",IF(NOT(ISNUMBER($D98)),"Tanggal kosong/bukan tanggal",IF(COUNTIF($B$2:$B$200,$B98)&gt;6,"OK",IF(COUNTIFS($B$2:$B$200,$B98,$A$2:$A$200,"&lt;&gt;"&amp;$A98)&gt;0,"Nomor SPD berbeda untuk pegawai yang sama","OK")))))))</f>
        <v/>
      </c>
      <c r="I98" s="13" t="str">
        <f>IF($A98="","",IF(ISNUMBER(SEARCH("/",$A98)),$A98,IF(Kegiatan!$B$3="","(isi Tanggal dikeluarkan)",$A98&amp;"/"&amp;Kegiatan!$B$15&amp;"/"&amp;ROMAN(MONTH(Kegiatan!$B$3))&amp;"/"&amp;YEAR(Kegiatan!$B$3))))</f>
        <v/>
      </c>
    </row>
    <row r="99" spans="1:9" x14ac:dyDescent="0.3">
      <c r="A99" s="8"/>
      <c r="B99" s="8"/>
      <c r="C99" s="8"/>
      <c r="D99" s="12"/>
      <c r="E99" s="13" t="str">
        <f>IF($B99="","",IFERROR(INDEX(Pegawai!$B:$B,MATCH($B99,Pegawai!$A:$A,0)),""))</f>
        <v/>
      </c>
      <c r="F99" s="13" t="str">
        <f>IF($B99="","",IFERROR(INDEX(Pegawai!$C:$C,MATCH($B99,Pegawai!$A:$A,0)),""))</f>
        <v/>
      </c>
      <c r="G99" s="13" t="str">
        <f>IF($B99="","",IFERROR(INDEX(Pegawai!$D:$D,MATCH($B99,Pegawai!$A:$A,0)),""))</f>
        <v/>
      </c>
      <c r="H99" s="13" t="str">
        <f>IF($B99="","",IF(ISNA(MATCH($B99,Pegawai!$A:$A,0)),"Nama tidak ada di daftar Pegawai",IF($A99="","Nomor SPD belum diisi",IF($C99="","Tempat tujuan kosong",IF(NOT(ISNUMBER($D99)),"Tanggal kosong/bukan tanggal",IF(COUNTIF($B$2:$B$200,$B99)&gt;6,"OK",IF(COUNTIFS($B$2:$B$200,$B99,$A$2:$A$200,"&lt;&gt;"&amp;$A99)&gt;0,"Nomor SPD berbeda untuk pegawai yang sama","OK")))))))</f>
        <v/>
      </c>
      <c r="I99" s="13" t="str">
        <f>IF($A99="","",IF(ISNUMBER(SEARCH("/",$A99)),$A99,IF(Kegiatan!$B$3="","(isi Tanggal dikeluarkan)",$A99&amp;"/"&amp;Kegiatan!$B$15&amp;"/"&amp;ROMAN(MONTH(Kegiatan!$B$3))&amp;"/"&amp;YEAR(Kegiatan!$B$3))))</f>
        <v/>
      </c>
    </row>
    <row r="100" spans="1:9" x14ac:dyDescent="0.3">
      <c r="A100" s="8"/>
      <c r="B100" s="8"/>
      <c r="C100" s="8"/>
      <c r="D100" s="12"/>
      <c r="E100" s="13" t="str">
        <f>IF($B100="","",IFERROR(INDEX(Pegawai!$B:$B,MATCH($B100,Pegawai!$A:$A,0)),""))</f>
        <v/>
      </c>
      <c r="F100" s="13" t="str">
        <f>IF($B100="","",IFERROR(INDEX(Pegawai!$C:$C,MATCH($B100,Pegawai!$A:$A,0)),""))</f>
        <v/>
      </c>
      <c r="G100" s="13" t="str">
        <f>IF($B100="","",IFERROR(INDEX(Pegawai!$D:$D,MATCH($B100,Pegawai!$A:$A,0)),""))</f>
        <v/>
      </c>
      <c r="H100" s="13" t="str">
        <f>IF($B100="","",IF(ISNA(MATCH($B100,Pegawai!$A:$A,0)),"Nama tidak ada di daftar Pegawai",IF($A100="","Nomor SPD belum diisi",IF($C100="","Tempat tujuan kosong",IF(NOT(ISNUMBER($D100)),"Tanggal kosong/bukan tanggal",IF(COUNTIF($B$2:$B$200,$B100)&gt;6,"OK",IF(COUNTIFS($B$2:$B$200,$B100,$A$2:$A$200,"&lt;&gt;"&amp;$A100)&gt;0,"Nomor SPD berbeda untuk pegawai yang sama","OK")))))))</f>
        <v/>
      </c>
      <c r="I100" s="13" t="str">
        <f>IF($A100="","",IF(ISNUMBER(SEARCH("/",$A100)),$A100,IF(Kegiatan!$B$3="","(isi Tanggal dikeluarkan)",$A100&amp;"/"&amp;Kegiatan!$B$15&amp;"/"&amp;ROMAN(MONTH(Kegiatan!$B$3))&amp;"/"&amp;YEAR(Kegiatan!$B$3))))</f>
        <v/>
      </c>
    </row>
    <row r="101" spans="1:9" x14ac:dyDescent="0.3">
      <c r="A101" s="8"/>
      <c r="B101" s="8"/>
      <c r="C101" s="8"/>
      <c r="D101" s="12"/>
      <c r="E101" s="13" t="str">
        <f>IF($B101="","",IFERROR(INDEX(Pegawai!$B:$B,MATCH($B101,Pegawai!$A:$A,0)),""))</f>
        <v/>
      </c>
      <c r="F101" s="13" t="str">
        <f>IF($B101="","",IFERROR(INDEX(Pegawai!$C:$C,MATCH($B101,Pegawai!$A:$A,0)),""))</f>
        <v/>
      </c>
      <c r="G101" s="13" t="str">
        <f>IF($B101="","",IFERROR(INDEX(Pegawai!$D:$D,MATCH($B101,Pegawai!$A:$A,0)),""))</f>
        <v/>
      </c>
      <c r="H101" s="13" t="str">
        <f>IF($B101="","",IF(ISNA(MATCH($B101,Pegawai!$A:$A,0)),"Nama tidak ada di daftar Pegawai",IF($A101="","Nomor SPD belum diisi",IF($C101="","Tempat tujuan kosong",IF(NOT(ISNUMBER($D101)),"Tanggal kosong/bukan tanggal",IF(COUNTIF($B$2:$B$200,$B101)&gt;6,"OK",IF(COUNTIFS($B$2:$B$200,$B101,$A$2:$A$200,"&lt;&gt;"&amp;$A101)&gt;0,"Nomor SPD berbeda untuk pegawai yang sama","OK")))))))</f>
        <v/>
      </c>
      <c r="I101" s="13" t="str">
        <f>IF($A101="","",IF(ISNUMBER(SEARCH("/",$A101)),$A101,IF(Kegiatan!$B$3="","(isi Tanggal dikeluarkan)",$A101&amp;"/"&amp;Kegiatan!$B$15&amp;"/"&amp;ROMAN(MONTH(Kegiatan!$B$3))&amp;"/"&amp;YEAR(Kegiatan!$B$3))))</f>
        <v/>
      </c>
    </row>
    <row r="102" spans="1:9" x14ac:dyDescent="0.3">
      <c r="A102" s="8"/>
      <c r="B102" s="8"/>
      <c r="C102" s="8"/>
      <c r="D102" s="12"/>
      <c r="E102" s="13" t="str">
        <f>IF($B102="","",IFERROR(INDEX(Pegawai!$B:$B,MATCH($B102,Pegawai!$A:$A,0)),""))</f>
        <v/>
      </c>
      <c r="F102" s="13" t="str">
        <f>IF($B102="","",IFERROR(INDEX(Pegawai!$C:$C,MATCH($B102,Pegawai!$A:$A,0)),""))</f>
        <v/>
      </c>
      <c r="G102" s="13" t="str">
        <f>IF($B102="","",IFERROR(INDEX(Pegawai!$D:$D,MATCH($B102,Pegawai!$A:$A,0)),""))</f>
        <v/>
      </c>
      <c r="H102" s="13" t="str">
        <f>IF($B102="","",IF(ISNA(MATCH($B102,Pegawai!$A:$A,0)),"Nama tidak ada di daftar Pegawai",IF($A102="","Nomor SPD belum diisi",IF($C102="","Tempat tujuan kosong",IF(NOT(ISNUMBER($D102)),"Tanggal kosong/bukan tanggal",IF(COUNTIF($B$2:$B$200,$B102)&gt;6,"OK",IF(COUNTIFS($B$2:$B$200,$B102,$A$2:$A$200,"&lt;&gt;"&amp;$A102)&gt;0,"Nomor SPD berbeda untuk pegawai yang sama","OK")))))))</f>
        <v/>
      </c>
      <c r="I102" s="13" t="str">
        <f>IF($A102="","",IF(ISNUMBER(SEARCH("/",$A102)),$A102,IF(Kegiatan!$B$3="","(isi Tanggal dikeluarkan)",$A102&amp;"/"&amp;Kegiatan!$B$15&amp;"/"&amp;ROMAN(MONTH(Kegiatan!$B$3))&amp;"/"&amp;YEAR(Kegiatan!$B$3))))</f>
        <v/>
      </c>
    </row>
    <row r="103" spans="1:9" x14ac:dyDescent="0.3">
      <c r="A103" s="8"/>
      <c r="B103" s="8"/>
      <c r="C103" s="8"/>
      <c r="D103" s="12"/>
      <c r="E103" s="13" t="str">
        <f>IF($B103="","",IFERROR(INDEX(Pegawai!$B:$B,MATCH($B103,Pegawai!$A:$A,0)),""))</f>
        <v/>
      </c>
      <c r="F103" s="13" t="str">
        <f>IF($B103="","",IFERROR(INDEX(Pegawai!$C:$C,MATCH($B103,Pegawai!$A:$A,0)),""))</f>
        <v/>
      </c>
      <c r="G103" s="13" t="str">
        <f>IF($B103="","",IFERROR(INDEX(Pegawai!$D:$D,MATCH($B103,Pegawai!$A:$A,0)),""))</f>
        <v/>
      </c>
      <c r="H103" s="13" t="str">
        <f>IF($B103="","",IF(ISNA(MATCH($B103,Pegawai!$A:$A,0)),"Nama tidak ada di daftar Pegawai",IF($A103="","Nomor SPD belum diisi",IF($C103="","Tempat tujuan kosong",IF(NOT(ISNUMBER($D103)),"Tanggal kosong/bukan tanggal",IF(COUNTIF($B$2:$B$200,$B103)&gt;6,"OK",IF(COUNTIFS($B$2:$B$200,$B103,$A$2:$A$200,"&lt;&gt;"&amp;$A103)&gt;0,"Nomor SPD berbeda untuk pegawai yang sama","OK")))))))</f>
        <v/>
      </c>
      <c r="I103" s="13" t="str">
        <f>IF($A103="","",IF(ISNUMBER(SEARCH("/",$A103)),$A103,IF(Kegiatan!$B$3="","(isi Tanggal dikeluarkan)",$A103&amp;"/"&amp;Kegiatan!$B$15&amp;"/"&amp;ROMAN(MONTH(Kegiatan!$B$3))&amp;"/"&amp;YEAR(Kegiatan!$B$3))))</f>
        <v/>
      </c>
    </row>
    <row r="104" spans="1:9" x14ac:dyDescent="0.3">
      <c r="A104" s="8"/>
      <c r="B104" s="8"/>
      <c r="C104" s="8"/>
      <c r="D104" s="12"/>
      <c r="E104" s="13" t="str">
        <f>IF($B104="","",IFERROR(INDEX(Pegawai!$B:$B,MATCH($B104,Pegawai!$A:$A,0)),""))</f>
        <v/>
      </c>
      <c r="F104" s="13" t="str">
        <f>IF($B104="","",IFERROR(INDEX(Pegawai!$C:$C,MATCH($B104,Pegawai!$A:$A,0)),""))</f>
        <v/>
      </c>
      <c r="G104" s="13" t="str">
        <f>IF($B104="","",IFERROR(INDEX(Pegawai!$D:$D,MATCH($B104,Pegawai!$A:$A,0)),""))</f>
        <v/>
      </c>
      <c r="H104" s="13" t="str">
        <f>IF($B104="","",IF(ISNA(MATCH($B104,Pegawai!$A:$A,0)),"Nama tidak ada di daftar Pegawai",IF($A104="","Nomor SPD belum diisi",IF($C104="","Tempat tujuan kosong",IF(NOT(ISNUMBER($D104)),"Tanggal kosong/bukan tanggal",IF(COUNTIF($B$2:$B$200,$B104)&gt;6,"OK",IF(COUNTIFS($B$2:$B$200,$B104,$A$2:$A$200,"&lt;&gt;"&amp;$A104)&gt;0,"Nomor SPD berbeda untuk pegawai yang sama","OK")))))))</f>
        <v/>
      </c>
      <c r="I104" s="13" t="str">
        <f>IF($A104="","",IF(ISNUMBER(SEARCH("/",$A104)),$A104,IF(Kegiatan!$B$3="","(isi Tanggal dikeluarkan)",$A104&amp;"/"&amp;Kegiatan!$B$15&amp;"/"&amp;ROMAN(MONTH(Kegiatan!$B$3))&amp;"/"&amp;YEAR(Kegiatan!$B$3))))</f>
        <v/>
      </c>
    </row>
    <row r="105" spans="1:9" x14ac:dyDescent="0.3">
      <c r="A105" s="8"/>
      <c r="B105" s="8"/>
      <c r="C105" s="8"/>
      <c r="D105" s="12"/>
      <c r="E105" s="13" t="str">
        <f>IF($B105="","",IFERROR(INDEX(Pegawai!$B:$B,MATCH($B105,Pegawai!$A:$A,0)),""))</f>
        <v/>
      </c>
      <c r="F105" s="13" t="str">
        <f>IF($B105="","",IFERROR(INDEX(Pegawai!$C:$C,MATCH($B105,Pegawai!$A:$A,0)),""))</f>
        <v/>
      </c>
      <c r="G105" s="13" t="str">
        <f>IF($B105="","",IFERROR(INDEX(Pegawai!$D:$D,MATCH($B105,Pegawai!$A:$A,0)),""))</f>
        <v/>
      </c>
      <c r="H105" s="13" t="str">
        <f>IF($B105="","",IF(ISNA(MATCH($B105,Pegawai!$A:$A,0)),"Nama tidak ada di daftar Pegawai",IF($A105="","Nomor SPD belum diisi",IF($C105="","Tempat tujuan kosong",IF(NOT(ISNUMBER($D105)),"Tanggal kosong/bukan tanggal",IF(COUNTIF($B$2:$B$200,$B105)&gt;6,"OK",IF(COUNTIFS($B$2:$B$200,$B105,$A$2:$A$200,"&lt;&gt;"&amp;$A105)&gt;0,"Nomor SPD berbeda untuk pegawai yang sama","OK")))))))</f>
        <v/>
      </c>
      <c r="I105" s="13" t="str">
        <f>IF($A105="","",IF(ISNUMBER(SEARCH("/",$A105)),$A105,IF(Kegiatan!$B$3="","(isi Tanggal dikeluarkan)",$A105&amp;"/"&amp;Kegiatan!$B$15&amp;"/"&amp;ROMAN(MONTH(Kegiatan!$B$3))&amp;"/"&amp;YEAR(Kegiatan!$B$3))))</f>
        <v/>
      </c>
    </row>
    <row r="106" spans="1:9" x14ac:dyDescent="0.3">
      <c r="A106" s="8"/>
      <c r="B106" s="8"/>
      <c r="C106" s="8"/>
      <c r="D106" s="12"/>
      <c r="E106" s="13" t="str">
        <f>IF($B106="","",IFERROR(INDEX(Pegawai!$B:$B,MATCH($B106,Pegawai!$A:$A,0)),""))</f>
        <v/>
      </c>
      <c r="F106" s="13" t="str">
        <f>IF($B106="","",IFERROR(INDEX(Pegawai!$C:$C,MATCH($B106,Pegawai!$A:$A,0)),""))</f>
        <v/>
      </c>
      <c r="G106" s="13" t="str">
        <f>IF($B106="","",IFERROR(INDEX(Pegawai!$D:$D,MATCH($B106,Pegawai!$A:$A,0)),""))</f>
        <v/>
      </c>
      <c r="H106" s="13" t="str">
        <f>IF($B106="","",IF(ISNA(MATCH($B106,Pegawai!$A:$A,0)),"Nama tidak ada di daftar Pegawai",IF($A106="","Nomor SPD belum diisi",IF($C106="","Tempat tujuan kosong",IF(NOT(ISNUMBER($D106)),"Tanggal kosong/bukan tanggal",IF(COUNTIF($B$2:$B$200,$B106)&gt;6,"OK",IF(COUNTIFS($B$2:$B$200,$B106,$A$2:$A$200,"&lt;&gt;"&amp;$A106)&gt;0,"Nomor SPD berbeda untuk pegawai yang sama","OK")))))))</f>
        <v/>
      </c>
      <c r="I106" s="13" t="str">
        <f>IF($A106="","",IF(ISNUMBER(SEARCH("/",$A106)),$A106,IF(Kegiatan!$B$3="","(isi Tanggal dikeluarkan)",$A106&amp;"/"&amp;Kegiatan!$B$15&amp;"/"&amp;ROMAN(MONTH(Kegiatan!$B$3))&amp;"/"&amp;YEAR(Kegiatan!$B$3))))</f>
        <v/>
      </c>
    </row>
    <row r="107" spans="1:9" x14ac:dyDescent="0.3">
      <c r="A107" s="8"/>
      <c r="B107" s="8"/>
      <c r="C107" s="8"/>
      <c r="D107" s="12"/>
      <c r="E107" s="13" t="str">
        <f>IF($B107="","",IFERROR(INDEX(Pegawai!$B:$B,MATCH($B107,Pegawai!$A:$A,0)),""))</f>
        <v/>
      </c>
      <c r="F107" s="13" t="str">
        <f>IF($B107="","",IFERROR(INDEX(Pegawai!$C:$C,MATCH($B107,Pegawai!$A:$A,0)),""))</f>
        <v/>
      </c>
      <c r="G107" s="13" t="str">
        <f>IF($B107="","",IFERROR(INDEX(Pegawai!$D:$D,MATCH($B107,Pegawai!$A:$A,0)),""))</f>
        <v/>
      </c>
      <c r="H107" s="13" t="str">
        <f>IF($B107="","",IF(ISNA(MATCH($B107,Pegawai!$A:$A,0)),"Nama tidak ada di daftar Pegawai",IF($A107="","Nomor SPD belum diisi",IF($C107="","Tempat tujuan kosong",IF(NOT(ISNUMBER($D107)),"Tanggal kosong/bukan tanggal",IF(COUNTIF($B$2:$B$200,$B107)&gt;6,"OK",IF(COUNTIFS($B$2:$B$200,$B107,$A$2:$A$200,"&lt;&gt;"&amp;$A107)&gt;0,"Nomor SPD berbeda untuk pegawai yang sama","OK")))))))</f>
        <v/>
      </c>
      <c r="I107" s="13" t="str">
        <f>IF($A107="","",IF(ISNUMBER(SEARCH("/",$A107)),$A107,IF(Kegiatan!$B$3="","(isi Tanggal dikeluarkan)",$A107&amp;"/"&amp;Kegiatan!$B$15&amp;"/"&amp;ROMAN(MONTH(Kegiatan!$B$3))&amp;"/"&amp;YEAR(Kegiatan!$B$3))))</f>
        <v/>
      </c>
    </row>
    <row r="108" spans="1:9" x14ac:dyDescent="0.3">
      <c r="A108" s="8"/>
      <c r="B108" s="8"/>
      <c r="C108" s="8"/>
      <c r="D108" s="12"/>
      <c r="E108" s="13" t="str">
        <f>IF($B108="","",IFERROR(INDEX(Pegawai!$B:$B,MATCH($B108,Pegawai!$A:$A,0)),""))</f>
        <v/>
      </c>
      <c r="F108" s="13" t="str">
        <f>IF($B108="","",IFERROR(INDEX(Pegawai!$C:$C,MATCH($B108,Pegawai!$A:$A,0)),""))</f>
        <v/>
      </c>
      <c r="G108" s="13" t="str">
        <f>IF($B108="","",IFERROR(INDEX(Pegawai!$D:$D,MATCH($B108,Pegawai!$A:$A,0)),""))</f>
        <v/>
      </c>
      <c r="H108" s="13" t="str">
        <f>IF($B108="","",IF(ISNA(MATCH($B108,Pegawai!$A:$A,0)),"Nama tidak ada di daftar Pegawai",IF($A108="","Nomor SPD belum diisi",IF($C108="","Tempat tujuan kosong",IF(NOT(ISNUMBER($D108)),"Tanggal kosong/bukan tanggal",IF(COUNTIF($B$2:$B$200,$B108)&gt;6,"OK",IF(COUNTIFS($B$2:$B$200,$B108,$A$2:$A$200,"&lt;&gt;"&amp;$A108)&gt;0,"Nomor SPD berbeda untuk pegawai yang sama","OK")))))))</f>
        <v/>
      </c>
      <c r="I108" s="13" t="str">
        <f>IF($A108="","",IF(ISNUMBER(SEARCH("/",$A108)),$A108,IF(Kegiatan!$B$3="","(isi Tanggal dikeluarkan)",$A108&amp;"/"&amp;Kegiatan!$B$15&amp;"/"&amp;ROMAN(MONTH(Kegiatan!$B$3))&amp;"/"&amp;YEAR(Kegiatan!$B$3))))</f>
        <v/>
      </c>
    </row>
    <row r="109" spans="1:9" x14ac:dyDescent="0.3">
      <c r="A109" s="8"/>
      <c r="B109" s="8"/>
      <c r="C109" s="8"/>
      <c r="D109" s="12"/>
      <c r="E109" s="13" t="str">
        <f>IF($B109="","",IFERROR(INDEX(Pegawai!$B:$B,MATCH($B109,Pegawai!$A:$A,0)),""))</f>
        <v/>
      </c>
      <c r="F109" s="13" t="str">
        <f>IF($B109="","",IFERROR(INDEX(Pegawai!$C:$C,MATCH($B109,Pegawai!$A:$A,0)),""))</f>
        <v/>
      </c>
      <c r="G109" s="13" t="str">
        <f>IF($B109="","",IFERROR(INDEX(Pegawai!$D:$D,MATCH($B109,Pegawai!$A:$A,0)),""))</f>
        <v/>
      </c>
      <c r="H109" s="13" t="str">
        <f>IF($B109="","",IF(ISNA(MATCH($B109,Pegawai!$A:$A,0)),"Nama tidak ada di daftar Pegawai",IF($A109="","Nomor SPD belum diisi",IF($C109="","Tempat tujuan kosong",IF(NOT(ISNUMBER($D109)),"Tanggal kosong/bukan tanggal",IF(COUNTIF($B$2:$B$200,$B109)&gt;6,"OK",IF(COUNTIFS($B$2:$B$200,$B109,$A$2:$A$200,"&lt;&gt;"&amp;$A109)&gt;0,"Nomor SPD berbeda untuk pegawai yang sama","OK")))))))</f>
        <v/>
      </c>
      <c r="I109" s="13" t="str">
        <f>IF($A109="","",IF(ISNUMBER(SEARCH("/",$A109)),$A109,IF(Kegiatan!$B$3="","(isi Tanggal dikeluarkan)",$A109&amp;"/"&amp;Kegiatan!$B$15&amp;"/"&amp;ROMAN(MONTH(Kegiatan!$B$3))&amp;"/"&amp;YEAR(Kegiatan!$B$3))))</f>
        <v/>
      </c>
    </row>
    <row r="110" spans="1:9" x14ac:dyDescent="0.3">
      <c r="A110" s="8"/>
      <c r="B110" s="8"/>
      <c r="C110" s="8"/>
      <c r="D110" s="12"/>
      <c r="E110" s="13" t="str">
        <f>IF($B110="","",IFERROR(INDEX(Pegawai!$B:$B,MATCH($B110,Pegawai!$A:$A,0)),""))</f>
        <v/>
      </c>
      <c r="F110" s="13" t="str">
        <f>IF($B110="","",IFERROR(INDEX(Pegawai!$C:$C,MATCH($B110,Pegawai!$A:$A,0)),""))</f>
        <v/>
      </c>
      <c r="G110" s="13" t="str">
        <f>IF($B110="","",IFERROR(INDEX(Pegawai!$D:$D,MATCH($B110,Pegawai!$A:$A,0)),""))</f>
        <v/>
      </c>
      <c r="H110" s="13" t="str">
        <f>IF($B110="","",IF(ISNA(MATCH($B110,Pegawai!$A:$A,0)),"Nama tidak ada di daftar Pegawai",IF($A110="","Nomor SPD belum diisi",IF($C110="","Tempat tujuan kosong",IF(NOT(ISNUMBER($D110)),"Tanggal kosong/bukan tanggal",IF(COUNTIF($B$2:$B$200,$B110)&gt;6,"OK",IF(COUNTIFS($B$2:$B$200,$B110,$A$2:$A$200,"&lt;&gt;"&amp;$A110)&gt;0,"Nomor SPD berbeda untuk pegawai yang sama","OK")))))))</f>
        <v/>
      </c>
      <c r="I110" s="13" t="str">
        <f>IF($A110="","",IF(ISNUMBER(SEARCH("/",$A110)),$A110,IF(Kegiatan!$B$3="","(isi Tanggal dikeluarkan)",$A110&amp;"/"&amp;Kegiatan!$B$15&amp;"/"&amp;ROMAN(MONTH(Kegiatan!$B$3))&amp;"/"&amp;YEAR(Kegiatan!$B$3))))</f>
        <v/>
      </c>
    </row>
    <row r="111" spans="1:9" x14ac:dyDescent="0.3">
      <c r="A111" s="8"/>
      <c r="B111" s="8"/>
      <c r="C111" s="8"/>
      <c r="D111" s="12"/>
      <c r="E111" s="13" t="str">
        <f>IF($B111="","",IFERROR(INDEX(Pegawai!$B:$B,MATCH($B111,Pegawai!$A:$A,0)),""))</f>
        <v/>
      </c>
      <c r="F111" s="13" t="str">
        <f>IF($B111="","",IFERROR(INDEX(Pegawai!$C:$C,MATCH($B111,Pegawai!$A:$A,0)),""))</f>
        <v/>
      </c>
      <c r="G111" s="13" t="str">
        <f>IF($B111="","",IFERROR(INDEX(Pegawai!$D:$D,MATCH($B111,Pegawai!$A:$A,0)),""))</f>
        <v/>
      </c>
      <c r="H111" s="13" t="str">
        <f>IF($B111="","",IF(ISNA(MATCH($B111,Pegawai!$A:$A,0)),"Nama tidak ada di daftar Pegawai",IF($A111="","Nomor SPD belum diisi",IF($C111="","Tempat tujuan kosong",IF(NOT(ISNUMBER($D111)),"Tanggal kosong/bukan tanggal",IF(COUNTIF($B$2:$B$200,$B111)&gt;6,"OK",IF(COUNTIFS($B$2:$B$200,$B111,$A$2:$A$200,"&lt;&gt;"&amp;$A111)&gt;0,"Nomor SPD berbeda untuk pegawai yang sama","OK")))))))</f>
        <v/>
      </c>
      <c r="I111" s="13" t="str">
        <f>IF($A111="","",IF(ISNUMBER(SEARCH("/",$A111)),$A111,IF(Kegiatan!$B$3="","(isi Tanggal dikeluarkan)",$A111&amp;"/"&amp;Kegiatan!$B$15&amp;"/"&amp;ROMAN(MONTH(Kegiatan!$B$3))&amp;"/"&amp;YEAR(Kegiatan!$B$3))))</f>
        <v/>
      </c>
    </row>
    <row r="112" spans="1:9" x14ac:dyDescent="0.3">
      <c r="A112" s="8"/>
      <c r="B112" s="8"/>
      <c r="C112" s="8"/>
      <c r="D112" s="12"/>
      <c r="E112" s="13" t="str">
        <f>IF($B112="","",IFERROR(INDEX(Pegawai!$B:$B,MATCH($B112,Pegawai!$A:$A,0)),""))</f>
        <v/>
      </c>
      <c r="F112" s="13" t="str">
        <f>IF($B112="","",IFERROR(INDEX(Pegawai!$C:$C,MATCH($B112,Pegawai!$A:$A,0)),""))</f>
        <v/>
      </c>
      <c r="G112" s="13" t="str">
        <f>IF($B112="","",IFERROR(INDEX(Pegawai!$D:$D,MATCH($B112,Pegawai!$A:$A,0)),""))</f>
        <v/>
      </c>
      <c r="H112" s="13" t="str">
        <f>IF($B112="","",IF(ISNA(MATCH($B112,Pegawai!$A:$A,0)),"Nama tidak ada di daftar Pegawai",IF($A112="","Nomor SPD belum diisi",IF($C112="","Tempat tujuan kosong",IF(NOT(ISNUMBER($D112)),"Tanggal kosong/bukan tanggal",IF(COUNTIF($B$2:$B$200,$B112)&gt;6,"OK",IF(COUNTIFS($B$2:$B$200,$B112,$A$2:$A$200,"&lt;&gt;"&amp;$A112)&gt;0,"Nomor SPD berbeda untuk pegawai yang sama","OK")))))))</f>
        <v/>
      </c>
      <c r="I112" s="13" t="str">
        <f>IF($A112="","",IF(ISNUMBER(SEARCH("/",$A112)),$A112,IF(Kegiatan!$B$3="","(isi Tanggal dikeluarkan)",$A112&amp;"/"&amp;Kegiatan!$B$15&amp;"/"&amp;ROMAN(MONTH(Kegiatan!$B$3))&amp;"/"&amp;YEAR(Kegiatan!$B$3))))</f>
        <v/>
      </c>
    </row>
    <row r="113" spans="1:9" x14ac:dyDescent="0.3">
      <c r="A113" s="8"/>
      <c r="B113" s="8"/>
      <c r="C113" s="8"/>
      <c r="D113" s="12"/>
      <c r="E113" s="13" t="str">
        <f>IF($B113="","",IFERROR(INDEX(Pegawai!$B:$B,MATCH($B113,Pegawai!$A:$A,0)),""))</f>
        <v/>
      </c>
      <c r="F113" s="13" t="str">
        <f>IF($B113="","",IFERROR(INDEX(Pegawai!$C:$C,MATCH($B113,Pegawai!$A:$A,0)),""))</f>
        <v/>
      </c>
      <c r="G113" s="13" t="str">
        <f>IF($B113="","",IFERROR(INDEX(Pegawai!$D:$D,MATCH($B113,Pegawai!$A:$A,0)),""))</f>
        <v/>
      </c>
      <c r="H113" s="13" t="str">
        <f>IF($B113="","",IF(ISNA(MATCH($B113,Pegawai!$A:$A,0)),"Nama tidak ada di daftar Pegawai",IF($A113="","Nomor SPD belum diisi",IF($C113="","Tempat tujuan kosong",IF(NOT(ISNUMBER($D113)),"Tanggal kosong/bukan tanggal",IF(COUNTIF($B$2:$B$200,$B113)&gt;6,"OK",IF(COUNTIFS($B$2:$B$200,$B113,$A$2:$A$200,"&lt;&gt;"&amp;$A113)&gt;0,"Nomor SPD berbeda untuk pegawai yang sama","OK")))))))</f>
        <v/>
      </c>
      <c r="I113" s="13" t="str">
        <f>IF($A113="","",IF(ISNUMBER(SEARCH("/",$A113)),$A113,IF(Kegiatan!$B$3="","(isi Tanggal dikeluarkan)",$A113&amp;"/"&amp;Kegiatan!$B$15&amp;"/"&amp;ROMAN(MONTH(Kegiatan!$B$3))&amp;"/"&amp;YEAR(Kegiatan!$B$3))))</f>
        <v/>
      </c>
    </row>
    <row r="114" spans="1:9" x14ac:dyDescent="0.3">
      <c r="A114" s="8"/>
      <c r="B114" s="8"/>
      <c r="C114" s="8"/>
      <c r="D114" s="12"/>
      <c r="E114" s="13" t="str">
        <f>IF($B114="","",IFERROR(INDEX(Pegawai!$B:$B,MATCH($B114,Pegawai!$A:$A,0)),""))</f>
        <v/>
      </c>
      <c r="F114" s="13" t="str">
        <f>IF($B114="","",IFERROR(INDEX(Pegawai!$C:$C,MATCH($B114,Pegawai!$A:$A,0)),""))</f>
        <v/>
      </c>
      <c r="G114" s="13" t="str">
        <f>IF($B114="","",IFERROR(INDEX(Pegawai!$D:$D,MATCH($B114,Pegawai!$A:$A,0)),""))</f>
        <v/>
      </c>
      <c r="H114" s="13" t="str">
        <f>IF($B114="","",IF(ISNA(MATCH($B114,Pegawai!$A:$A,0)),"Nama tidak ada di daftar Pegawai",IF($A114="","Nomor SPD belum diisi",IF($C114="","Tempat tujuan kosong",IF(NOT(ISNUMBER($D114)),"Tanggal kosong/bukan tanggal",IF(COUNTIF($B$2:$B$200,$B114)&gt;6,"OK",IF(COUNTIFS($B$2:$B$200,$B114,$A$2:$A$200,"&lt;&gt;"&amp;$A114)&gt;0,"Nomor SPD berbeda untuk pegawai yang sama","OK")))))))</f>
        <v/>
      </c>
      <c r="I114" s="13" t="str">
        <f>IF($A114="","",IF(ISNUMBER(SEARCH("/",$A114)),$A114,IF(Kegiatan!$B$3="","(isi Tanggal dikeluarkan)",$A114&amp;"/"&amp;Kegiatan!$B$15&amp;"/"&amp;ROMAN(MONTH(Kegiatan!$B$3))&amp;"/"&amp;YEAR(Kegiatan!$B$3))))</f>
        <v/>
      </c>
    </row>
    <row r="115" spans="1:9" x14ac:dyDescent="0.3">
      <c r="A115" s="8"/>
      <c r="B115" s="8"/>
      <c r="C115" s="8"/>
      <c r="D115" s="12"/>
      <c r="E115" s="13" t="str">
        <f>IF($B115="","",IFERROR(INDEX(Pegawai!$B:$B,MATCH($B115,Pegawai!$A:$A,0)),""))</f>
        <v/>
      </c>
      <c r="F115" s="13" t="str">
        <f>IF($B115="","",IFERROR(INDEX(Pegawai!$C:$C,MATCH($B115,Pegawai!$A:$A,0)),""))</f>
        <v/>
      </c>
      <c r="G115" s="13" t="str">
        <f>IF($B115="","",IFERROR(INDEX(Pegawai!$D:$D,MATCH($B115,Pegawai!$A:$A,0)),""))</f>
        <v/>
      </c>
      <c r="H115" s="13" t="str">
        <f>IF($B115="","",IF(ISNA(MATCH($B115,Pegawai!$A:$A,0)),"Nama tidak ada di daftar Pegawai",IF($A115="","Nomor SPD belum diisi",IF($C115="","Tempat tujuan kosong",IF(NOT(ISNUMBER($D115)),"Tanggal kosong/bukan tanggal",IF(COUNTIF($B$2:$B$200,$B115)&gt;6,"OK",IF(COUNTIFS($B$2:$B$200,$B115,$A$2:$A$200,"&lt;&gt;"&amp;$A115)&gt;0,"Nomor SPD berbeda untuk pegawai yang sama","OK")))))))</f>
        <v/>
      </c>
      <c r="I115" s="13" t="str">
        <f>IF($A115="","",IF(ISNUMBER(SEARCH("/",$A115)),$A115,IF(Kegiatan!$B$3="","(isi Tanggal dikeluarkan)",$A115&amp;"/"&amp;Kegiatan!$B$15&amp;"/"&amp;ROMAN(MONTH(Kegiatan!$B$3))&amp;"/"&amp;YEAR(Kegiatan!$B$3))))</f>
        <v/>
      </c>
    </row>
    <row r="116" spans="1:9" x14ac:dyDescent="0.3">
      <c r="A116" s="8"/>
      <c r="B116" s="8"/>
      <c r="C116" s="8"/>
      <c r="D116" s="12"/>
      <c r="E116" s="13" t="str">
        <f>IF($B116="","",IFERROR(INDEX(Pegawai!$B:$B,MATCH($B116,Pegawai!$A:$A,0)),""))</f>
        <v/>
      </c>
      <c r="F116" s="13" t="str">
        <f>IF($B116="","",IFERROR(INDEX(Pegawai!$C:$C,MATCH($B116,Pegawai!$A:$A,0)),""))</f>
        <v/>
      </c>
      <c r="G116" s="13" t="str">
        <f>IF($B116="","",IFERROR(INDEX(Pegawai!$D:$D,MATCH($B116,Pegawai!$A:$A,0)),""))</f>
        <v/>
      </c>
      <c r="H116" s="13" t="str">
        <f>IF($B116="","",IF(ISNA(MATCH($B116,Pegawai!$A:$A,0)),"Nama tidak ada di daftar Pegawai",IF($A116="","Nomor SPD belum diisi",IF($C116="","Tempat tujuan kosong",IF(NOT(ISNUMBER($D116)),"Tanggal kosong/bukan tanggal",IF(COUNTIF($B$2:$B$200,$B116)&gt;6,"OK",IF(COUNTIFS($B$2:$B$200,$B116,$A$2:$A$200,"&lt;&gt;"&amp;$A116)&gt;0,"Nomor SPD berbeda untuk pegawai yang sama","OK")))))))</f>
        <v/>
      </c>
      <c r="I116" s="13" t="str">
        <f>IF($A116="","",IF(ISNUMBER(SEARCH("/",$A116)),$A116,IF(Kegiatan!$B$3="","(isi Tanggal dikeluarkan)",$A116&amp;"/"&amp;Kegiatan!$B$15&amp;"/"&amp;ROMAN(MONTH(Kegiatan!$B$3))&amp;"/"&amp;YEAR(Kegiatan!$B$3))))</f>
        <v/>
      </c>
    </row>
    <row r="117" spans="1:9" x14ac:dyDescent="0.3">
      <c r="A117" s="8"/>
      <c r="B117" s="8"/>
      <c r="C117" s="8"/>
      <c r="D117" s="12"/>
      <c r="E117" s="13" t="str">
        <f>IF($B117="","",IFERROR(INDEX(Pegawai!$B:$B,MATCH($B117,Pegawai!$A:$A,0)),""))</f>
        <v/>
      </c>
      <c r="F117" s="13" t="str">
        <f>IF($B117="","",IFERROR(INDEX(Pegawai!$C:$C,MATCH($B117,Pegawai!$A:$A,0)),""))</f>
        <v/>
      </c>
      <c r="G117" s="13" t="str">
        <f>IF($B117="","",IFERROR(INDEX(Pegawai!$D:$D,MATCH($B117,Pegawai!$A:$A,0)),""))</f>
        <v/>
      </c>
      <c r="H117" s="13" t="str">
        <f>IF($B117="","",IF(ISNA(MATCH($B117,Pegawai!$A:$A,0)),"Nama tidak ada di daftar Pegawai",IF($A117="","Nomor SPD belum diisi",IF($C117="","Tempat tujuan kosong",IF(NOT(ISNUMBER($D117)),"Tanggal kosong/bukan tanggal",IF(COUNTIF($B$2:$B$200,$B117)&gt;6,"OK",IF(COUNTIFS($B$2:$B$200,$B117,$A$2:$A$200,"&lt;&gt;"&amp;$A117)&gt;0,"Nomor SPD berbeda untuk pegawai yang sama","OK")))))))</f>
        <v/>
      </c>
      <c r="I117" s="13" t="str">
        <f>IF($A117="","",IF(ISNUMBER(SEARCH("/",$A117)),$A117,IF(Kegiatan!$B$3="","(isi Tanggal dikeluarkan)",$A117&amp;"/"&amp;Kegiatan!$B$15&amp;"/"&amp;ROMAN(MONTH(Kegiatan!$B$3))&amp;"/"&amp;YEAR(Kegiatan!$B$3))))</f>
        <v/>
      </c>
    </row>
    <row r="118" spans="1:9" x14ac:dyDescent="0.3">
      <c r="A118" s="8"/>
      <c r="B118" s="8"/>
      <c r="C118" s="8"/>
      <c r="D118" s="12"/>
      <c r="E118" s="13" t="str">
        <f>IF($B118="","",IFERROR(INDEX(Pegawai!$B:$B,MATCH($B118,Pegawai!$A:$A,0)),""))</f>
        <v/>
      </c>
      <c r="F118" s="13" t="str">
        <f>IF($B118="","",IFERROR(INDEX(Pegawai!$C:$C,MATCH($B118,Pegawai!$A:$A,0)),""))</f>
        <v/>
      </c>
      <c r="G118" s="13" t="str">
        <f>IF($B118="","",IFERROR(INDEX(Pegawai!$D:$D,MATCH($B118,Pegawai!$A:$A,0)),""))</f>
        <v/>
      </c>
      <c r="H118" s="13" t="str">
        <f>IF($B118="","",IF(ISNA(MATCH($B118,Pegawai!$A:$A,0)),"Nama tidak ada di daftar Pegawai",IF($A118="","Nomor SPD belum diisi",IF($C118="","Tempat tujuan kosong",IF(NOT(ISNUMBER($D118)),"Tanggal kosong/bukan tanggal",IF(COUNTIF($B$2:$B$200,$B118)&gt;6,"OK",IF(COUNTIFS($B$2:$B$200,$B118,$A$2:$A$200,"&lt;&gt;"&amp;$A118)&gt;0,"Nomor SPD berbeda untuk pegawai yang sama","OK")))))))</f>
        <v/>
      </c>
      <c r="I118" s="13" t="str">
        <f>IF($A118="","",IF(ISNUMBER(SEARCH("/",$A118)),$A118,IF(Kegiatan!$B$3="","(isi Tanggal dikeluarkan)",$A118&amp;"/"&amp;Kegiatan!$B$15&amp;"/"&amp;ROMAN(MONTH(Kegiatan!$B$3))&amp;"/"&amp;YEAR(Kegiatan!$B$3))))</f>
        <v/>
      </c>
    </row>
    <row r="119" spans="1:9" x14ac:dyDescent="0.3">
      <c r="A119" s="8"/>
      <c r="B119" s="8"/>
      <c r="C119" s="8"/>
      <c r="D119" s="12"/>
      <c r="E119" s="13" t="str">
        <f>IF($B119="","",IFERROR(INDEX(Pegawai!$B:$B,MATCH($B119,Pegawai!$A:$A,0)),""))</f>
        <v/>
      </c>
      <c r="F119" s="13" t="str">
        <f>IF($B119="","",IFERROR(INDEX(Pegawai!$C:$C,MATCH($B119,Pegawai!$A:$A,0)),""))</f>
        <v/>
      </c>
      <c r="G119" s="13" t="str">
        <f>IF($B119="","",IFERROR(INDEX(Pegawai!$D:$D,MATCH($B119,Pegawai!$A:$A,0)),""))</f>
        <v/>
      </c>
      <c r="H119" s="13" t="str">
        <f>IF($B119="","",IF(ISNA(MATCH($B119,Pegawai!$A:$A,0)),"Nama tidak ada di daftar Pegawai",IF($A119="","Nomor SPD belum diisi",IF($C119="","Tempat tujuan kosong",IF(NOT(ISNUMBER($D119)),"Tanggal kosong/bukan tanggal",IF(COUNTIF($B$2:$B$200,$B119)&gt;6,"OK",IF(COUNTIFS($B$2:$B$200,$B119,$A$2:$A$200,"&lt;&gt;"&amp;$A119)&gt;0,"Nomor SPD berbeda untuk pegawai yang sama","OK")))))))</f>
        <v/>
      </c>
      <c r="I119" s="13" t="str">
        <f>IF($A119="","",IF(ISNUMBER(SEARCH("/",$A119)),$A119,IF(Kegiatan!$B$3="","(isi Tanggal dikeluarkan)",$A119&amp;"/"&amp;Kegiatan!$B$15&amp;"/"&amp;ROMAN(MONTH(Kegiatan!$B$3))&amp;"/"&amp;YEAR(Kegiatan!$B$3))))</f>
        <v/>
      </c>
    </row>
    <row r="120" spans="1:9" x14ac:dyDescent="0.3">
      <c r="A120" s="8"/>
      <c r="B120" s="8"/>
      <c r="C120" s="8"/>
      <c r="D120" s="12"/>
      <c r="E120" s="13" t="str">
        <f>IF($B120="","",IFERROR(INDEX(Pegawai!$B:$B,MATCH($B120,Pegawai!$A:$A,0)),""))</f>
        <v/>
      </c>
      <c r="F120" s="13" t="str">
        <f>IF($B120="","",IFERROR(INDEX(Pegawai!$C:$C,MATCH($B120,Pegawai!$A:$A,0)),""))</f>
        <v/>
      </c>
      <c r="G120" s="13" t="str">
        <f>IF($B120="","",IFERROR(INDEX(Pegawai!$D:$D,MATCH($B120,Pegawai!$A:$A,0)),""))</f>
        <v/>
      </c>
      <c r="H120" s="13" t="str">
        <f>IF($B120="","",IF(ISNA(MATCH($B120,Pegawai!$A:$A,0)),"Nama tidak ada di daftar Pegawai",IF($A120="","Nomor SPD belum diisi",IF($C120="","Tempat tujuan kosong",IF(NOT(ISNUMBER($D120)),"Tanggal kosong/bukan tanggal",IF(COUNTIF($B$2:$B$200,$B120)&gt;6,"OK",IF(COUNTIFS($B$2:$B$200,$B120,$A$2:$A$200,"&lt;&gt;"&amp;$A120)&gt;0,"Nomor SPD berbeda untuk pegawai yang sama","OK")))))))</f>
        <v/>
      </c>
      <c r="I120" s="13" t="str">
        <f>IF($A120="","",IF(ISNUMBER(SEARCH("/",$A120)),$A120,IF(Kegiatan!$B$3="","(isi Tanggal dikeluarkan)",$A120&amp;"/"&amp;Kegiatan!$B$15&amp;"/"&amp;ROMAN(MONTH(Kegiatan!$B$3))&amp;"/"&amp;YEAR(Kegiatan!$B$3))))</f>
        <v/>
      </c>
    </row>
    <row r="121" spans="1:9" x14ac:dyDescent="0.3">
      <c r="A121" s="8"/>
      <c r="B121" s="8"/>
      <c r="C121" s="8"/>
      <c r="D121" s="12"/>
      <c r="E121" s="13" t="str">
        <f>IF($B121="","",IFERROR(INDEX(Pegawai!$B:$B,MATCH($B121,Pegawai!$A:$A,0)),""))</f>
        <v/>
      </c>
      <c r="F121" s="13" t="str">
        <f>IF($B121="","",IFERROR(INDEX(Pegawai!$C:$C,MATCH($B121,Pegawai!$A:$A,0)),""))</f>
        <v/>
      </c>
      <c r="G121" s="13" t="str">
        <f>IF($B121="","",IFERROR(INDEX(Pegawai!$D:$D,MATCH($B121,Pegawai!$A:$A,0)),""))</f>
        <v/>
      </c>
      <c r="H121" s="13" t="str">
        <f>IF($B121="","",IF(ISNA(MATCH($B121,Pegawai!$A:$A,0)),"Nama tidak ada di daftar Pegawai",IF($A121="","Nomor SPD belum diisi",IF($C121="","Tempat tujuan kosong",IF(NOT(ISNUMBER($D121)),"Tanggal kosong/bukan tanggal",IF(COUNTIF($B$2:$B$200,$B121)&gt;6,"OK",IF(COUNTIFS($B$2:$B$200,$B121,$A$2:$A$200,"&lt;&gt;"&amp;$A121)&gt;0,"Nomor SPD berbeda untuk pegawai yang sama","OK")))))))</f>
        <v/>
      </c>
      <c r="I121" s="13" t="str">
        <f>IF($A121="","",IF(ISNUMBER(SEARCH("/",$A121)),$A121,IF(Kegiatan!$B$3="","(isi Tanggal dikeluarkan)",$A121&amp;"/"&amp;Kegiatan!$B$15&amp;"/"&amp;ROMAN(MONTH(Kegiatan!$B$3))&amp;"/"&amp;YEAR(Kegiatan!$B$3))))</f>
        <v/>
      </c>
    </row>
    <row r="122" spans="1:9" x14ac:dyDescent="0.3">
      <c r="A122" s="8"/>
      <c r="B122" s="8"/>
      <c r="C122" s="8"/>
      <c r="D122" s="12"/>
      <c r="E122" s="13" t="str">
        <f>IF($B122="","",IFERROR(INDEX(Pegawai!$B:$B,MATCH($B122,Pegawai!$A:$A,0)),""))</f>
        <v/>
      </c>
      <c r="F122" s="13" t="str">
        <f>IF($B122="","",IFERROR(INDEX(Pegawai!$C:$C,MATCH($B122,Pegawai!$A:$A,0)),""))</f>
        <v/>
      </c>
      <c r="G122" s="13" t="str">
        <f>IF($B122="","",IFERROR(INDEX(Pegawai!$D:$D,MATCH($B122,Pegawai!$A:$A,0)),""))</f>
        <v/>
      </c>
      <c r="H122" s="13" t="str">
        <f>IF($B122="","",IF(ISNA(MATCH($B122,Pegawai!$A:$A,0)),"Nama tidak ada di daftar Pegawai",IF($A122="","Nomor SPD belum diisi",IF($C122="","Tempat tujuan kosong",IF(NOT(ISNUMBER($D122)),"Tanggal kosong/bukan tanggal",IF(COUNTIF($B$2:$B$200,$B122)&gt;6,"OK",IF(COUNTIFS($B$2:$B$200,$B122,$A$2:$A$200,"&lt;&gt;"&amp;$A122)&gt;0,"Nomor SPD berbeda untuk pegawai yang sama","OK")))))))</f>
        <v/>
      </c>
      <c r="I122" s="13" t="str">
        <f>IF($A122="","",IF(ISNUMBER(SEARCH("/",$A122)),$A122,IF(Kegiatan!$B$3="","(isi Tanggal dikeluarkan)",$A122&amp;"/"&amp;Kegiatan!$B$15&amp;"/"&amp;ROMAN(MONTH(Kegiatan!$B$3))&amp;"/"&amp;YEAR(Kegiatan!$B$3))))</f>
        <v/>
      </c>
    </row>
    <row r="123" spans="1:9" x14ac:dyDescent="0.3">
      <c r="A123" s="8"/>
      <c r="B123" s="8"/>
      <c r="C123" s="8"/>
      <c r="D123" s="12"/>
      <c r="E123" s="13" t="str">
        <f>IF($B123="","",IFERROR(INDEX(Pegawai!$B:$B,MATCH($B123,Pegawai!$A:$A,0)),""))</f>
        <v/>
      </c>
      <c r="F123" s="13" t="str">
        <f>IF($B123="","",IFERROR(INDEX(Pegawai!$C:$C,MATCH($B123,Pegawai!$A:$A,0)),""))</f>
        <v/>
      </c>
      <c r="G123" s="13" t="str">
        <f>IF($B123="","",IFERROR(INDEX(Pegawai!$D:$D,MATCH($B123,Pegawai!$A:$A,0)),""))</f>
        <v/>
      </c>
      <c r="H123" s="13" t="str">
        <f>IF($B123="","",IF(ISNA(MATCH($B123,Pegawai!$A:$A,0)),"Nama tidak ada di daftar Pegawai",IF($A123="","Nomor SPD belum diisi",IF($C123="","Tempat tujuan kosong",IF(NOT(ISNUMBER($D123)),"Tanggal kosong/bukan tanggal",IF(COUNTIF($B$2:$B$200,$B123)&gt;6,"OK",IF(COUNTIFS($B$2:$B$200,$B123,$A$2:$A$200,"&lt;&gt;"&amp;$A123)&gt;0,"Nomor SPD berbeda untuk pegawai yang sama","OK")))))))</f>
        <v/>
      </c>
      <c r="I123" s="13" t="str">
        <f>IF($A123="","",IF(ISNUMBER(SEARCH("/",$A123)),$A123,IF(Kegiatan!$B$3="","(isi Tanggal dikeluarkan)",$A123&amp;"/"&amp;Kegiatan!$B$15&amp;"/"&amp;ROMAN(MONTH(Kegiatan!$B$3))&amp;"/"&amp;YEAR(Kegiatan!$B$3))))</f>
        <v/>
      </c>
    </row>
    <row r="124" spans="1:9" x14ac:dyDescent="0.3">
      <c r="A124" s="8"/>
      <c r="B124" s="8"/>
      <c r="C124" s="8"/>
      <c r="D124" s="12"/>
      <c r="E124" s="13" t="str">
        <f>IF($B124="","",IFERROR(INDEX(Pegawai!$B:$B,MATCH($B124,Pegawai!$A:$A,0)),""))</f>
        <v/>
      </c>
      <c r="F124" s="13" t="str">
        <f>IF($B124="","",IFERROR(INDEX(Pegawai!$C:$C,MATCH($B124,Pegawai!$A:$A,0)),""))</f>
        <v/>
      </c>
      <c r="G124" s="13" t="str">
        <f>IF($B124="","",IFERROR(INDEX(Pegawai!$D:$D,MATCH($B124,Pegawai!$A:$A,0)),""))</f>
        <v/>
      </c>
      <c r="H124" s="13" t="str">
        <f>IF($B124="","",IF(ISNA(MATCH($B124,Pegawai!$A:$A,0)),"Nama tidak ada di daftar Pegawai",IF($A124="","Nomor SPD belum diisi",IF($C124="","Tempat tujuan kosong",IF(NOT(ISNUMBER($D124)),"Tanggal kosong/bukan tanggal",IF(COUNTIF($B$2:$B$200,$B124)&gt;6,"OK",IF(COUNTIFS($B$2:$B$200,$B124,$A$2:$A$200,"&lt;&gt;"&amp;$A124)&gt;0,"Nomor SPD berbeda untuk pegawai yang sama","OK")))))))</f>
        <v/>
      </c>
      <c r="I124" s="13" t="str">
        <f>IF($A124="","",IF(ISNUMBER(SEARCH("/",$A124)),$A124,IF(Kegiatan!$B$3="","(isi Tanggal dikeluarkan)",$A124&amp;"/"&amp;Kegiatan!$B$15&amp;"/"&amp;ROMAN(MONTH(Kegiatan!$B$3))&amp;"/"&amp;YEAR(Kegiatan!$B$3))))</f>
        <v/>
      </c>
    </row>
    <row r="125" spans="1:9" x14ac:dyDescent="0.3">
      <c r="A125" s="8"/>
      <c r="B125" s="8"/>
      <c r="C125" s="8"/>
      <c r="D125" s="12"/>
      <c r="E125" s="13" t="str">
        <f>IF($B125="","",IFERROR(INDEX(Pegawai!$B:$B,MATCH($B125,Pegawai!$A:$A,0)),""))</f>
        <v/>
      </c>
      <c r="F125" s="13" t="str">
        <f>IF($B125="","",IFERROR(INDEX(Pegawai!$C:$C,MATCH($B125,Pegawai!$A:$A,0)),""))</f>
        <v/>
      </c>
      <c r="G125" s="13" t="str">
        <f>IF($B125="","",IFERROR(INDEX(Pegawai!$D:$D,MATCH($B125,Pegawai!$A:$A,0)),""))</f>
        <v/>
      </c>
      <c r="H125" s="13" t="str">
        <f>IF($B125="","",IF(ISNA(MATCH($B125,Pegawai!$A:$A,0)),"Nama tidak ada di daftar Pegawai",IF($A125="","Nomor SPD belum diisi",IF($C125="","Tempat tujuan kosong",IF(NOT(ISNUMBER($D125)),"Tanggal kosong/bukan tanggal",IF(COUNTIF($B$2:$B$200,$B125)&gt;6,"OK",IF(COUNTIFS($B$2:$B$200,$B125,$A$2:$A$200,"&lt;&gt;"&amp;$A125)&gt;0,"Nomor SPD berbeda untuk pegawai yang sama","OK")))))))</f>
        <v/>
      </c>
      <c r="I125" s="13" t="str">
        <f>IF($A125="","",IF(ISNUMBER(SEARCH("/",$A125)),$A125,IF(Kegiatan!$B$3="","(isi Tanggal dikeluarkan)",$A125&amp;"/"&amp;Kegiatan!$B$15&amp;"/"&amp;ROMAN(MONTH(Kegiatan!$B$3))&amp;"/"&amp;YEAR(Kegiatan!$B$3))))</f>
        <v/>
      </c>
    </row>
    <row r="126" spans="1:9" x14ac:dyDescent="0.3">
      <c r="A126" s="8"/>
      <c r="B126" s="8"/>
      <c r="C126" s="8"/>
      <c r="D126" s="12"/>
      <c r="E126" s="13" t="str">
        <f>IF($B126="","",IFERROR(INDEX(Pegawai!$B:$B,MATCH($B126,Pegawai!$A:$A,0)),""))</f>
        <v/>
      </c>
      <c r="F126" s="13" t="str">
        <f>IF($B126="","",IFERROR(INDEX(Pegawai!$C:$C,MATCH($B126,Pegawai!$A:$A,0)),""))</f>
        <v/>
      </c>
      <c r="G126" s="13" t="str">
        <f>IF($B126="","",IFERROR(INDEX(Pegawai!$D:$D,MATCH($B126,Pegawai!$A:$A,0)),""))</f>
        <v/>
      </c>
      <c r="H126" s="13" t="str">
        <f>IF($B126="","",IF(ISNA(MATCH($B126,Pegawai!$A:$A,0)),"Nama tidak ada di daftar Pegawai",IF($A126="","Nomor SPD belum diisi",IF($C126="","Tempat tujuan kosong",IF(NOT(ISNUMBER($D126)),"Tanggal kosong/bukan tanggal",IF(COUNTIF($B$2:$B$200,$B126)&gt;6,"OK",IF(COUNTIFS($B$2:$B$200,$B126,$A$2:$A$200,"&lt;&gt;"&amp;$A126)&gt;0,"Nomor SPD berbeda untuk pegawai yang sama","OK")))))))</f>
        <v/>
      </c>
      <c r="I126" s="13" t="str">
        <f>IF($A126="","",IF(ISNUMBER(SEARCH("/",$A126)),$A126,IF(Kegiatan!$B$3="","(isi Tanggal dikeluarkan)",$A126&amp;"/"&amp;Kegiatan!$B$15&amp;"/"&amp;ROMAN(MONTH(Kegiatan!$B$3))&amp;"/"&amp;YEAR(Kegiatan!$B$3))))</f>
        <v/>
      </c>
    </row>
    <row r="127" spans="1:9" x14ac:dyDescent="0.3">
      <c r="A127" s="8"/>
      <c r="B127" s="8"/>
      <c r="C127" s="8"/>
      <c r="D127" s="12"/>
      <c r="E127" s="13" t="str">
        <f>IF($B127="","",IFERROR(INDEX(Pegawai!$B:$B,MATCH($B127,Pegawai!$A:$A,0)),""))</f>
        <v/>
      </c>
      <c r="F127" s="13" t="str">
        <f>IF($B127="","",IFERROR(INDEX(Pegawai!$C:$C,MATCH($B127,Pegawai!$A:$A,0)),""))</f>
        <v/>
      </c>
      <c r="G127" s="13" t="str">
        <f>IF($B127="","",IFERROR(INDEX(Pegawai!$D:$D,MATCH($B127,Pegawai!$A:$A,0)),""))</f>
        <v/>
      </c>
      <c r="H127" s="13" t="str">
        <f>IF($B127="","",IF(ISNA(MATCH($B127,Pegawai!$A:$A,0)),"Nama tidak ada di daftar Pegawai",IF($A127="","Nomor SPD belum diisi",IF($C127="","Tempat tujuan kosong",IF(NOT(ISNUMBER($D127)),"Tanggal kosong/bukan tanggal",IF(COUNTIF($B$2:$B$200,$B127)&gt;6,"OK",IF(COUNTIFS($B$2:$B$200,$B127,$A$2:$A$200,"&lt;&gt;"&amp;$A127)&gt;0,"Nomor SPD berbeda untuk pegawai yang sama","OK")))))))</f>
        <v/>
      </c>
      <c r="I127" s="13" t="str">
        <f>IF($A127="","",IF(ISNUMBER(SEARCH("/",$A127)),$A127,IF(Kegiatan!$B$3="","(isi Tanggal dikeluarkan)",$A127&amp;"/"&amp;Kegiatan!$B$15&amp;"/"&amp;ROMAN(MONTH(Kegiatan!$B$3))&amp;"/"&amp;YEAR(Kegiatan!$B$3))))</f>
        <v/>
      </c>
    </row>
    <row r="128" spans="1:9" x14ac:dyDescent="0.3">
      <c r="A128" s="8"/>
      <c r="B128" s="8"/>
      <c r="C128" s="8"/>
      <c r="D128" s="12"/>
      <c r="E128" s="13" t="str">
        <f>IF($B128="","",IFERROR(INDEX(Pegawai!$B:$B,MATCH($B128,Pegawai!$A:$A,0)),""))</f>
        <v/>
      </c>
      <c r="F128" s="13" t="str">
        <f>IF($B128="","",IFERROR(INDEX(Pegawai!$C:$C,MATCH($B128,Pegawai!$A:$A,0)),""))</f>
        <v/>
      </c>
      <c r="G128" s="13" t="str">
        <f>IF($B128="","",IFERROR(INDEX(Pegawai!$D:$D,MATCH($B128,Pegawai!$A:$A,0)),""))</f>
        <v/>
      </c>
      <c r="H128" s="13" t="str">
        <f>IF($B128="","",IF(ISNA(MATCH($B128,Pegawai!$A:$A,0)),"Nama tidak ada di daftar Pegawai",IF($A128="","Nomor SPD belum diisi",IF($C128="","Tempat tujuan kosong",IF(NOT(ISNUMBER($D128)),"Tanggal kosong/bukan tanggal",IF(COUNTIF($B$2:$B$200,$B128)&gt;6,"OK",IF(COUNTIFS($B$2:$B$200,$B128,$A$2:$A$200,"&lt;&gt;"&amp;$A128)&gt;0,"Nomor SPD berbeda untuk pegawai yang sama","OK")))))))</f>
        <v/>
      </c>
      <c r="I128" s="13" t="str">
        <f>IF($A128="","",IF(ISNUMBER(SEARCH("/",$A128)),$A128,IF(Kegiatan!$B$3="","(isi Tanggal dikeluarkan)",$A128&amp;"/"&amp;Kegiatan!$B$15&amp;"/"&amp;ROMAN(MONTH(Kegiatan!$B$3))&amp;"/"&amp;YEAR(Kegiatan!$B$3))))</f>
        <v/>
      </c>
    </row>
    <row r="129" spans="1:9" x14ac:dyDescent="0.3">
      <c r="A129" s="8"/>
      <c r="B129" s="8"/>
      <c r="C129" s="8"/>
      <c r="D129" s="12"/>
      <c r="E129" s="13" t="str">
        <f>IF($B129="","",IFERROR(INDEX(Pegawai!$B:$B,MATCH($B129,Pegawai!$A:$A,0)),""))</f>
        <v/>
      </c>
      <c r="F129" s="13" t="str">
        <f>IF($B129="","",IFERROR(INDEX(Pegawai!$C:$C,MATCH($B129,Pegawai!$A:$A,0)),""))</f>
        <v/>
      </c>
      <c r="G129" s="13" t="str">
        <f>IF($B129="","",IFERROR(INDEX(Pegawai!$D:$D,MATCH($B129,Pegawai!$A:$A,0)),""))</f>
        <v/>
      </c>
      <c r="H129" s="13" t="str">
        <f>IF($B129="","",IF(ISNA(MATCH($B129,Pegawai!$A:$A,0)),"Nama tidak ada di daftar Pegawai",IF($A129="","Nomor SPD belum diisi",IF($C129="","Tempat tujuan kosong",IF(NOT(ISNUMBER($D129)),"Tanggal kosong/bukan tanggal",IF(COUNTIF($B$2:$B$200,$B129)&gt;6,"OK",IF(COUNTIFS($B$2:$B$200,$B129,$A$2:$A$200,"&lt;&gt;"&amp;$A129)&gt;0,"Nomor SPD berbeda untuk pegawai yang sama","OK")))))))</f>
        <v/>
      </c>
      <c r="I129" s="13" t="str">
        <f>IF($A129="","",IF(ISNUMBER(SEARCH("/",$A129)),$A129,IF(Kegiatan!$B$3="","(isi Tanggal dikeluarkan)",$A129&amp;"/"&amp;Kegiatan!$B$15&amp;"/"&amp;ROMAN(MONTH(Kegiatan!$B$3))&amp;"/"&amp;YEAR(Kegiatan!$B$3))))</f>
        <v/>
      </c>
    </row>
    <row r="130" spans="1:9" x14ac:dyDescent="0.3">
      <c r="A130" s="8"/>
      <c r="B130" s="8"/>
      <c r="C130" s="8"/>
      <c r="D130" s="12"/>
      <c r="E130" s="13" t="str">
        <f>IF($B130="","",IFERROR(INDEX(Pegawai!$B:$B,MATCH($B130,Pegawai!$A:$A,0)),""))</f>
        <v/>
      </c>
      <c r="F130" s="13" t="str">
        <f>IF($B130="","",IFERROR(INDEX(Pegawai!$C:$C,MATCH($B130,Pegawai!$A:$A,0)),""))</f>
        <v/>
      </c>
      <c r="G130" s="13" t="str">
        <f>IF($B130="","",IFERROR(INDEX(Pegawai!$D:$D,MATCH($B130,Pegawai!$A:$A,0)),""))</f>
        <v/>
      </c>
      <c r="H130" s="13" t="str">
        <f>IF($B130="","",IF(ISNA(MATCH($B130,Pegawai!$A:$A,0)),"Nama tidak ada di daftar Pegawai",IF($A130="","Nomor SPD belum diisi",IF($C130="","Tempat tujuan kosong",IF(NOT(ISNUMBER($D130)),"Tanggal kosong/bukan tanggal",IF(COUNTIF($B$2:$B$200,$B130)&gt;6,"OK",IF(COUNTIFS($B$2:$B$200,$B130,$A$2:$A$200,"&lt;&gt;"&amp;$A130)&gt;0,"Nomor SPD berbeda untuk pegawai yang sama","OK")))))))</f>
        <v/>
      </c>
      <c r="I130" s="13" t="str">
        <f>IF($A130="","",IF(ISNUMBER(SEARCH("/",$A130)),$A130,IF(Kegiatan!$B$3="","(isi Tanggal dikeluarkan)",$A130&amp;"/"&amp;Kegiatan!$B$15&amp;"/"&amp;ROMAN(MONTH(Kegiatan!$B$3))&amp;"/"&amp;YEAR(Kegiatan!$B$3))))</f>
        <v/>
      </c>
    </row>
    <row r="131" spans="1:9" x14ac:dyDescent="0.3">
      <c r="A131" s="8"/>
      <c r="B131" s="8"/>
      <c r="C131" s="8"/>
      <c r="D131" s="12"/>
      <c r="E131" s="13" t="str">
        <f>IF($B131="","",IFERROR(INDEX(Pegawai!$B:$B,MATCH($B131,Pegawai!$A:$A,0)),""))</f>
        <v/>
      </c>
      <c r="F131" s="13" t="str">
        <f>IF($B131="","",IFERROR(INDEX(Pegawai!$C:$C,MATCH($B131,Pegawai!$A:$A,0)),""))</f>
        <v/>
      </c>
      <c r="G131" s="13" t="str">
        <f>IF($B131="","",IFERROR(INDEX(Pegawai!$D:$D,MATCH($B131,Pegawai!$A:$A,0)),""))</f>
        <v/>
      </c>
      <c r="H131" s="13" t="str">
        <f>IF($B131="","",IF(ISNA(MATCH($B131,Pegawai!$A:$A,0)),"Nama tidak ada di daftar Pegawai",IF($A131="","Nomor SPD belum diisi",IF($C131="","Tempat tujuan kosong",IF(NOT(ISNUMBER($D131)),"Tanggal kosong/bukan tanggal",IF(COUNTIF($B$2:$B$200,$B131)&gt;6,"OK",IF(COUNTIFS($B$2:$B$200,$B131,$A$2:$A$200,"&lt;&gt;"&amp;$A131)&gt;0,"Nomor SPD berbeda untuk pegawai yang sama","OK")))))))</f>
        <v/>
      </c>
      <c r="I131" s="13" t="str">
        <f>IF($A131="","",IF(ISNUMBER(SEARCH("/",$A131)),$A131,IF(Kegiatan!$B$3="","(isi Tanggal dikeluarkan)",$A131&amp;"/"&amp;Kegiatan!$B$15&amp;"/"&amp;ROMAN(MONTH(Kegiatan!$B$3))&amp;"/"&amp;YEAR(Kegiatan!$B$3))))</f>
        <v/>
      </c>
    </row>
    <row r="132" spans="1:9" x14ac:dyDescent="0.3">
      <c r="A132" s="8"/>
      <c r="B132" s="8"/>
      <c r="C132" s="8"/>
      <c r="D132" s="12"/>
      <c r="E132" s="13" t="str">
        <f>IF($B132="","",IFERROR(INDEX(Pegawai!$B:$B,MATCH($B132,Pegawai!$A:$A,0)),""))</f>
        <v/>
      </c>
      <c r="F132" s="13" t="str">
        <f>IF($B132="","",IFERROR(INDEX(Pegawai!$C:$C,MATCH($B132,Pegawai!$A:$A,0)),""))</f>
        <v/>
      </c>
      <c r="G132" s="13" t="str">
        <f>IF($B132="","",IFERROR(INDEX(Pegawai!$D:$D,MATCH($B132,Pegawai!$A:$A,0)),""))</f>
        <v/>
      </c>
      <c r="H132" s="13" t="str">
        <f>IF($B132="","",IF(ISNA(MATCH($B132,Pegawai!$A:$A,0)),"Nama tidak ada di daftar Pegawai",IF($A132="","Nomor SPD belum diisi",IF($C132="","Tempat tujuan kosong",IF(NOT(ISNUMBER($D132)),"Tanggal kosong/bukan tanggal",IF(COUNTIF($B$2:$B$200,$B132)&gt;6,"OK",IF(COUNTIFS($B$2:$B$200,$B132,$A$2:$A$200,"&lt;&gt;"&amp;$A132)&gt;0,"Nomor SPD berbeda untuk pegawai yang sama","OK")))))))</f>
        <v/>
      </c>
      <c r="I132" s="13" t="str">
        <f>IF($A132="","",IF(ISNUMBER(SEARCH("/",$A132)),$A132,IF(Kegiatan!$B$3="","(isi Tanggal dikeluarkan)",$A132&amp;"/"&amp;Kegiatan!$B$15&amp;"/"&amp;ROMAN(MONTH(Kegiatan!$B$3))&amp;"/"&amp;YEAR(Kegiatan!$B$3))))</f>
        <v/>
      </c>
    </row>
    <row r="133" spans="1:9" x14ac:dyDescent="0.3">
      <c r="A133" s="8"/>
      <c r="B133" s="8"/>
      <c r="C133" s="8"/>
      <c r="D133" s="12"/>
      <c r="E133" s="13" t="str">
        <f>IF($B133="","",IFERROR(INDEX(Pegawai!$B:$B,MATCH($B133,Pegawai!$A:$A,0)),""))</f>
        <v/>
      </c>
      <c r="F133" s="13" t="str">
        <f>IF($B133="","",IFERROR(INDEX(Pegawai!$C:$C,MATCH($B133,Pegawai!$A:$A,0)),""))</f>
        <v/>
      </c>
      <c r="G133" s="13" t="str">
        <f>IF($B133="","",IFERROR(INDEX(Pegawai!$D:$D,MATCH($B133,Pegawai!$A:$A,0)),""))</f>
        <v/>
      </c>
      <c r="H133" s="13" t="str">
        <f>IF($B133="","",IF(ISNA(MATCH($B133,Pegawai!$A:$A,0)),"Nama tidak ada di daftar Pegawai",IF($A133="","Nomor SPD belum diisi",IF($C133="","Tempat tujuan kosong",IF(NOT(ISNUMBER($D133)),"Tanggal kosong/bukan tanggal",IF(COUNTIF($B$2:$B$200,$B133)&gt;6,"OK",IF(COUNTIFS($B$2:$B$200,$B133,$A$2:$A$200,"&lt;&gt;"&amp;$A133)&gt;0,"Nomor SPD berbeda untuk pegawai yang sama","OK")))))))</f>
        <v/>
      </c>
      <c r="I133" s="13" t="str">
        <f>IF($A133="","",IF(ISNUMBER(SEARCH("/",$A133)),$A133,IF(Kegiatan!$B$3="","(isi Tanggal dikeluarkan)",$A133&amp;"/"&amp;Kegiatan!$B$15&amp;"/"&amp;ROMAN(MONTH(Kegiatan!$B$3))&amp;"/"&amp;YEAR(Kegiatan!$B$3))))</f>
        <v/>
      </c>
    </row>
    <row r="134" spans="1:9" x14ac:dyDescent="0.3">
      <c r="A134" s="8"/>
      <c r="B134" s="8"/>
      <c r="C134" s="8"/>
      <c r="D134" s="12"/>
      <c r="E134" s="13" t="str">
        <f>IF($B134="","",IFERROR(INDEX(Pegawai!$B:$B,MATCH($B134,Pegawai!$A:$A,0)),""))</f>
        <v/>
      </c>
      <c r="F134" s="13" t="str">
        <f>IF($B134="","",IFERROR(INDEX(Pegawai!$C:$C,MATCH($B134,Pegawai!$A:$A,0)),""))</f>
        <v/>
      </c>
      <c r="G134" s="13" t="str">
        <f>IF($B134="","",IFERROR(INDEX(Pegawai!$D:$D,MATCH($B134,Pegawai!$A:$A,0)),""))</f>
        <v/>
      </c>
      <c r="H134" s="13" t="str">
        <f>IF($B134="","",IF(ISNA(MATCH($B134,Pegawai!$A:$A,0)),"Nama tidak ada di daftar Pegawai",IF($A134="","Nomor SPD belum diisi",IF($C134="","Tempat tujuan kosong",IF(NOT(ISNUMBER($D134)),"Tanggal kosong/bukan tanggal",IF(COUNTIF($B$2:$B$200,$B134)&gt;6,"OK",IF(COUNTIFS($B$2:$B$200,$B134,$A$2:$A$200,"&lt;&gt;"&amp;$A134)&gt;0,"Nomor SPD berbeda untuk pegawai yang sama","OK")))))))</f>
        <v/>
      </c>
      <c r="I134" s="13" t="str">
        <f>IF($A134="","",IF(ISNUMBER(SEARCH("/",$A134)),$A134,IF(Kegiatan!$B$3="","(isi Tanggal dikeluarkan)",$A134&amp;"/"&amp;Kegiatan!$B$15&amp;"/"&amp;ROMAN(MONTH(Kegiatan!$B$3))&amp;"/"&amp;YEAR(Kegiatan!$B$3))))</f>
        <v/>
      </c>
    </row>
    <row r="135" spans="1:9" x14ac:dyDescent="0.3">
      <c r="A135" s="8"/>
      <c r="B135" s="8"/>
      <c r="C135" s="8"/>
      <c r="D135" s="12"/>
      <c r="E135" s="13" t="str">
        <f>IF($B135="","",IFERROR(INDEX(Pegawai!$B:$B,MATCH($B135,Pegawai!$A:$A,0)),""))</f>
        <v/>
      </c>
      <c r="F135" s="13" t="str">
        <f>IF($B135="","",IFERROR(INDEX(Pegawai!$C:$C,MATCH($B135,Pegawai!$A:$A,0)),""))</f>
        <v/>
      </c>
      <c r="G135" s="13" t="str">
        <f>IF($B135="","",IFERROR(INDEX(Pegawai!$D:$D,MATCH($B135,Pegawai!$A:$A,0)),""))</f>
        <v/>
      </c>
      <c r="H135" s="13" t="str">
        <f>IF($B135="","",IF(ISNA(MATCH($B135,Pegawai!$A:$A,0)),"Nama tidak ada di daftar Pegawai",IF($A135="","Nomor SPD belum diisi",IF($C135="","Tempat tujuan kosong",IF(NOT(ISNUMBER($D135)),"Tanggal kosong/bukan tanggal",IF(COUNTIF($B$2:$B$200,$B135)&gt;6,"OK",IF(COUNTIFS($B$2:$B$200,$B135,$A$2:$A$200,"&lt;&gt;"&amp;$A135)&gt;0,"Nomor SPD berbeda untuk pegawai yang sama","OK")))))))</f>
        <v/>
      </c>
      <c r="I135" s="13" t="str">
        <f>IF($A135="","",IF(ISNUMBER(SEARCH("/",$A135)),$A135,IF(Kegiatan!$B$3="","(isi Tanggal dikeluarkan)",$A135&amp;"/"&amp;Kegiatan!$B$15&amp;"/"&amp;ROMAN(MONTH(Kegiatan!$B$3))&amp;"/"&amp;YEAR(Kegiatan!$B$3))))</f>
        <v/>
      </c>
    </row>
    <row r="136" spans="1:9" x14ac:dyDescent="0.3">
      <c r="A136" s="8"/>
      <c r="B136" s="8"/>
      <c r="C136" s="8"/>
      <c r="D136" s="12"/>
      <c r="E136" s="13" t="str">
        <f>IF($B136="","",IFERROR(INDEX(Pegawai!$B:$B,MATCH($B136,Pegawai!$A:$A,0)),""))</f>
        <v/>
      </c>
      <c r="F136" s="13" t="str">
        <f>IF($B136="","",IFERROR(INDEX(Pegawai!$C:$C,MATCH($B136,Pegawai!$A:$A,0)),""))</f>
        <v/>
      </c>
      <c r="G136" s="13" t="str">
        <f>IF($B136="","",IFERROR(INDEX(Pegawai!$D:$D,MATCH($B136,Pegawai!$A:$A,0)),""))</f>
        <v/>
      </c>
      <c r="H136" s="13" t="str">
        <f>IF($B136="","",IF(ISNA(MATCH($B136,Pegawai!$A:$A,0)),"Nama tidak ada di daftar Pegawai",IF($A136="","Nomor SPD belum diisi",IF($C136="","Tempat tujuan kosong",IF(NOT(ISNUMBER($D136)),"Tanggal kosong/bukan tanggal",IF(COUNTIF($B$2:$B$200,$B136)&gt;6,"OK",IF(COUNTIFS($B$2:$B$200,$B136,$A$2:$A$200,"&lt;&gt;"&amp;$A136)&gt;0,"Nomor SPD berbeda untuk pegawai yang sama","OK")))))))</f>
        <v/>
      </c>
      <c r="I136" s="13" t="str">
        <f>IF($A136="","",IF(ISNUMBER(SEARCH("/",$A136)),$A136,IF(Kegiatan!$B$3="","(isi Tanggal dikeluarkan)",$A136&amp;"/"&amp;Kegiatan!$B$15&amp;"/"&amp;ROMAN(MONTH(Kegiatan!$B$3))&amp;"/"&amp;YEAR(Kegiatan!$B$3))))</f>
        <v/>
      </c>
    </row>
    <row r="137" spans="1:9" x14ac:dyDescent="0.3">
      <c r="A137" s="8"/>
      <c r="B137" s="8"/>
      <c r="C137" s="8"/>
      <c r="D137" s="12"/>
      <c r="E137" s="13" t="str">
        <f>IF($B137="","",IFERROR(INDEX(Pegawai!$B:$B,MATCH($B137,Pegawai!$A:$A,0)),""))</f>
        <v/>
      </c>
      <c r="F137" s="13" t="str">
        <f>IF($B137="","",IFERROR(INDEX(Pegawai!$C:$C,MATCH($B137,Pegawai!$A:$A,0)),""))</f>
        <v/>
      </c>
      <c r="G137" s="13" t="str">
        <f>IF($B137="","",IFERROR(INDEX(Pegawai!$D:$D,MATCH($B137,Pegawai!$A:$A,0)),""))</f>
        <v/>
      </c>
      <c r="H137" s="13" t="str">
        <f>IF($B137="","",IF(ISNA(MATCH($B137,Pegawai!$A:$A,0)),"Nama tidak ada di daftar Pegawai",IF($A137="","Nomor SPD belum diisi",IF($C137="","Tempat tujuan kosong",IF(NOT(ISNUMBER($D137)),"Tanggal kosong/bukan tanggal",IF(COUNTIF($B$2:$B$200,$B137)&gt;6,"OK",IF(COUNTIFS($B$2:$B$200,$B137,$A$2:$A$200,"&lt;&gt;"&amp;$A137)&gt;0,"Nomor SPD berbeda untuk pegawai yang sama","OK")))))))</f>
        <v/>
      </c>
      <c r="I137" s="13" t="str">
        <f>IF($A137="","",IF(ISNUMBER(SEARCH("/",$A137)),$A137,IF(Kegiatan!$B$3="","(isi Tanggal dikeluarkan)",$A137&amp;"/"&amp;Kegiatan!$B$15&amp;"/"&amp;ROMAN(MONTH(Kegiatan!$B$3))&amp;"/"&amp;YEAR(Kegiatan!$B$3))))</f>
        <v/>
      </c>
    </row>
    <row r="138" spans="1:9" x14ac:dyDescent="0.3">
      <c r="A138" s="8"/>
      <c r="B138" s="8"/>
      <c r="C138" s="8"/>
      <c r="D138" s="12"/>
      <c r="E138" s="13" t="str">
        <f>IF($B138="","",IFERROR(INDEX(Pegawai!$B:$B,MATCH($B138,Pegawai!$A:$A,0)),""))</f>
        <v/>
      </c>
      <c r="F138" s="13" t="str">
        <f>IF($B138="","",IFERROR(INDEX(Pegawai!$C:$C,MATCH($B138,Pegawai!$A:$A,0)),""))</f>
        <v/>
      </c>
      <c r="G138" s="13" t="str">
        <f>IF($B138="","",IFERROR(INDEX(Pegawai!$D:$D,MATCH($B138,Pegawai!$A:$A,0)),""))</f>
        <v/>
      </c>
      <c r="H138" s="13" t="str">
        <f>IF($B138="","",IF(ISNA(MATCH($B138,Pegawai!$A:$A,0)),"Nama tidak ada di daftar Pegawai",IF($A138="","Nomor SPD belum diisi",IF($C138="","Tempat tujuan kosong",IF(NOT(ISNUMBER($D138)),"Tanggal kosong/bukan tanggal",IF(COUNTIF($B$2:$B$200,$B138)&gt;6,"OK",IF(COUNTIFS($B$2:$B$200,$B138,$A$2:$A$200,"&lt;&gt;"&amp;$A138)&gt;0,"Nomor SPD berbeda untuk pegawai yang sama","OK")))))))</f>
        <v/>
      </c>
      <c r="I138" s="13" t="str">
        <f>IF($A138="","",IF(ISNUMBER(SEARCH("/",$A138)),$A138,IF(Kegiatan!$B$3="","(isi Tanggal dikeluarkan)",$A138&amp;"/"&amp;Kegiatan!$B$15&amp;"/"&amp;ROMAN(MONTH(Kegiatan!$B$3))&amp;"/"&amp;YEAR(Kegiatan!$B$3))))</f>
        <v/>
      </c>
    </row>
    <row r="139" spans="1:9" x14ac:dyDescent="0.3">
      <c r="A139" s="8"/>
      <c r="B139" s="8"/>
      <c r="C139" s="8"/>
      <c r="D139" s="12"/>
      <c r="E139" s="13" t="str">
        <f>IF($B139="","",IFERROR(INDEX(Pegawai!$B:$B,MATCH($B139,Pegawai!$A:$A,0)),""))</f>
        <v/>
      </c>
      <c r="F139" s="13" t="str">
        <f>IF($B139="","",IFERROR(INDEX(Pegawai!$C:$C,MATCH($B139,Pegawai!$A:$A,0)),""))</f>
        <v/>
      </c>
      <c r="G139" s="13" t="str">
        <f>IF($B139="","",IFERROR(INDEX(Pegawai!$D:$D,MATCH($B139,Pegawai!$A:$A,0)),""))</f>
        <v/>
      </c>
      <c r="H139" s="13" t="str">
        <f>IF($B139="","",IF(ISNA(MATCH($B139,Pegawai!$A:$A,0)),"Nama tidak ada di daftar Pegawai",IF($A139="","Nomor SPD belum diisi",IF($C139="","Tempat tujuan kosong",IF(NOT(ISNUMBER($D139)),"Tanggal kosong/bukan tanggal",IF(COUNTIF($B$2:$B$200,$B139)&gt;6,"OK",IF(COUNTIFS($B$2:$B$200,$B139,$A$2:$A$200,"&lt;&gt;"&amp;$A139)&gt;0,"Nomor SPD berbeda untuk pegawai yang sama","OK")))))))</f>
        <v/>
      </c>
      <c r="I139" s="13" t="str">
        <f>IF($A139="","",IF(ISNUMBER(SEARCH("/",$A139)),$A139,IF(Kegiatan!$B$3="","(isi Tanggal dikeluarkan)",$A139&amp;"/"&amp;Kegiatan!$B$15&amp;"/"&amp;ROMAN(MONTH(Kegiatan!$B$3))&amp;"/"&amp;YEAR(Kegiatan!$B$3))))</f>
        <v/>
      </c>
    </row>
    <row r="140" spans="1:9" x14ac:dyDescent="0.3">
      <c r="A140" s="8"/>
      <c r="B140" s="8"/>
      <c r="C140" s="8"/>
      <c r="D140" s="12"/>
      <c r="E140" s="13" t="str">
        <f>IF($B140="","",IFERROR(INDEX(Pegawai!$B:$B,MATCH($B140,Pegawai!$A:$A,0)),""))</f>
        <v/>
      </c>
      <c r="F140" s="13" t="str">
        <f>IF($B140="","",IFERROR(INDEX(Pegawai!$C:$C,MATCH($B140,Pegawai!$A:$A,0)),""))</f>
        <v/>
      </c>
      <c r="G140" s="13" t="str">
        <f>IF($B140="","",IFERROR(INDEX(Pegawai!$D:$D,MATCH($B140,Pegawai!$A:$A,0)),""))</f>
        <v/>
      </c>
      <c r="H140" s="13" t="str">
        <f>IF($B140="","",IF(ISNA(MATCH($B140,Pegawai!$A:$A,0)),"Nama tidak ada di daftar Pegawai",IF($A140="","Nomor SPD belum diisi",IF($C140="","Tempat tujuan kosong",IF(NOT(ISNUMBER($D140)),"Tanggal kosong/bukan tanggal",IF(COUNTIF($B$2:$B$200,$B140)&gt;6,"OK",IF(COUNTIFS($B$2:$B$200,$B140,$A$2:$A$200,"&lt;&gt;"&amp;$A140)&gt;0,"Nomor SPD berbeda untuk pegawai yang sama","OK")))))))</f>
        <v/>
      </c>
      <c r="I140" s="13" t="str">
        <f>IF($A140="","",IF(ISNUMBER(SEARCH("/",$A140)),$A140,IF(Kegiatan!$B$3="","(isi Tanggal dikeluarkan)",$A140&amp;"/"&amp;Kegiatan!$B$15&amp;"/"&amp;ROMAN(MONTH(Kegiatan!$B$3))&amp;"/"&amp;YEAR(Kegiatan!$B$3))))</f>
        <v/>
      </c>
    </row>
    <row r="141" spans="1:9" x14ac:dyDescent="0.3">
      <c r="A141" s="8"/>
      <c r="B141" s="8"/>
      <c r="C141" s="8"/>
      <c r="D141" s="12"/>
      <c r="E141" s="13" t="str">
        <f>IF($B141="","",IFERROR(INDEX(Pegawai!$B:$B,MATCH($B141,Pegawai!$A:$A,0)),""))</f>
        <v/>
      </c>
      <c r="F141" s="13" t="str">
        <f>IF($B141="","",IFERROR(INDEX(Pegawai!$C:$C,MATCH($B141,Pegawai!$A:$A,0)),""))</f>
        <v/>
      </c>
      <c r="G141" s="13" t="str">
        <f>IF($B141="","",IFERROR(INDEX(Pegawai!$D:$D,MATCH($B141,Pegawai!$A:$A,0)),""))</f>
        <v/>
      </c>
      <c r="H141" s="13" t="str">
        <f>IF($B141="","",IF(ISNA(MATCH($B141,Pegawai!$A:$A,0)),"Nama tidak ada di daftar Pegawai",IF($A141="","Nomor SPD belum diisi",IF($C141="","Tempat tujuan kosong",IF(NOT(ISNUMBER($D141)),"Tanggal kosong/bukan tanggal",IF(COUNTIF($B$2:$B$200,$B141)&gt;6,"OK",IF(COUNTIFS($B$2:$B$200,$B141,$A$2:$A$200,"&lt;&gt;"&amp;$A141)&gt;0,"Nomor SPD berbeda untuk pegawai yang sama","OK")))))))</f>
        <v/>
      </c>
      <c r="I141" s="13" t="str">
        <f>IF($A141="","",IF(ISNUMBER(SEARCH("/",$A141)),$A141,IF(Kegiatan!$B$3="","(isi Tanggal dikeluarkan)",$A141&amp;"/"&amp;Kegiatan!$B$15&amp;"/"&amp;ROMAN(MONTH(Kegiatan!$B$3))&amp;"/"&amp;YEAR(Kegiatan!$B$3))))</f>
        <v/>
      </c>
    </row>
    <row r="142" spans="1:9" x14ac:dyDescent="0.3">
      <c r="A142" s="8"/>
      <c r="B142" s="8"/>
      <c r="C142" s="8"/>
      <c r="D142" s="12"/>
      <c r="E142" s="13" t="str">
        <f>IF($B142="","",IFERROR(INDEX(Pegawai!$B:$B,MATCH($B142,Pegawai!$A:$A,0)),""))</f>
        <v/>
      </c>
      <c r="F142" s="13" t="str">
        <f>IF($B142="","",IFERROR(INDEX(Pegawai!$C:$C,MATCH($B142,Pegawai!$A:$A,0)),""))</f>
        <v/>
      </c>
      <c r="G142" s="13" t="str">
        <f>IF($B142="","",IFERROR(INDEX(Pegawai!$D:$D,MATCH($B142,Pegawai!$A:$A,0)),""))</f>
        <v/>
      </c>
      <c r="H142" s="13" t="str">
        <f>IF($B142="","",IF(ISNA(MATCH($B142,Pegawai!$A:$A,0)),"Nama tidak ada di daftar Pegawai",IF($A142="","Nomor SPD belum diisi",IF($C142="","Tempat tujuan kosong",IF(NOT(ISNUMBER($D142)),"Tanggal kosong/bukan tanggal",IF(COUNTIF($B$2:$B$200,$B142)&gt;6,"OK",IF(COUNTIFS($B$2:$B$200,$B142,$A$2:$A$200,"&lt;&gt;"&amp;$A142)&gt;0,"Nomor SPD berbeda untuk pegawai yang sama","OK")))))))</f>
        <v/>
      </c>
      <c r="I142" s="13" t="str">
        <f>IF($A142="","",IF(ISNUMBER(SEARCH("/",$A142)),$A142,IF(Kegiatan!$B$3="","(isi Tanggal dikeluarkan)",$A142&amp;"/"&amp;Kegiatan!$B$15&amp;"/"&amp;ROMAN(MONTH(Kegiatan!$B$3))&amp;"/"&amp;YEAR(Kegiatan!$B$3))))</f>
        <v/>
      </c>
    </row>
    <row r="143" spans="1:9" x14ac:dyDescent="0.3">
      <c r="A143" s="8"/>
      <c r="B143" s="8"/>
      <c r="C143" s="8"/>
      <c r="D143" s="12"/>
      <c r="E143" s="13" t="str">
        <f>IF($B143="","",IFERROR(INDEX(Pegawai!$B:$B,MATCH($B143,Pegawai!$A:$A,0)),""))</f>
        <v/>
      </c>
      <c r="F143" s="13" t="str">
        <f>IF($B143="","",IFERROR(INDEX(Pegawai!$C:$C,MATCH($B143,Pegawai!$A:$A,0)),""))</f>
        <v/>
      </c>
      <c r="G143" s="13" t="str">
        <f>IF($B143="","",IFERROR(INDEX(Pegawai!$D:$D,MATCH($B143,Pegawai!$A:$A,0)),""))</f>
        <v/>
      </c>
      <c r="H143" s="13" t="str">
        <f>IF($B143="","",IF(ISNA(MATCH($B143,Pegawai!$A:$A,0)),"Nama tidak ada di daftar Pegawai",IF($A143="","Nomor SPD belum diisi",IF($C143="","Tempat tujuan kosong",IF(NOT(ISNUMBER($D143)),"Tanggal kosong/bukan tanggal",IF(COUNTIF($B$2:$B$200,$B143)&gt;6,"OK",IF(COUNTIFS($B$2:$B$200,$B143,$A$2:$A$200,"&lt;&gt;"&amp;$A143)&gt;0,"Nomor SPD berbeda untuk pegawai yang sama","OK")))))))</f>
        <v/>
      </c>
      <c r="I143" s="13" t="str">
        <f>IF($A143="","",IF(ISNUMBER(SEARCH("/",$A143)),$A143,IF(Kegiatan!$B$3="","(isi Tanggal dikeluarkan)",$A143&amp;"/"&amp;Kegiatan!$B$15&amp;"/"&amp;ROMAN(MONTH(Kegiatan!$B$3))&amp;"/"&amp;YEAR(Kegiatan!$B$3))))</f>
        <v/>
      </c>
    </row>
    <row r="144" spans="1:9" x14ac:dyDescent="0.3">
      <c r="A144" s="8"/>
      <c r="B144" s="8"/>
      <c r="C144" s="8"/>
      <c r="D144" s="12"/>
      <c r="E144" s="13" t="str">
        <f>IF($B144="","",IFERROR(INDEX(Pegawai!$B:$B,MATCH($B144,Pegawai!$A:$A,0)),""))</f>
        <v/>
      </c>
      <c r="F144" s="13" t="str">
        <f>IF($B144="","",IFERROR(INDEX(Pegawai!$C:$C,MATCH($B144,Pegawai!$A:$A,0)),""))</f>
        <v/>
      </c>
      <c r="G144" s="13" t="str">
        <f>IF($B144="","",IFERROR(INDEX(Pegawai!$D:$D,MATCH($B144,Pegawai!$A:$A,0)),""))</f>
        <v/>
      </c>
      <c r="H144" s="13" t="str">
        <f>IF($B144="","",IF(ISNA(MATCH($B144,Pegawai!$A:$A,0)),"Nama tidak ada di daftar Pegawai",IF($A144="","Nomor SPD belum diisi",IF($C144="","Tempat tujuan kosong",IF(NOT(ISNUMBER($D144)),"Tanggal kosong/bukan tanggal",IF(COUNTIF($B$2:$B$200,$B144)&gt;6,"OK",IF(COUNTIFS($B$2:$B$200,$B144,$A$2:$A$200,"&lt;&gt;"&amp;$A144)&gt;0,"Nomor SPD berbeda untuk pegawai yang sama","OK")))))))</f>
        <v/>
      </c>
      <c r="I144" s="13" t="str">
        <f>IF($A144="","",IF(ISNUMBER(SEARCH("/",$A144)),$A144,IF(Kegiatan!$B$3="","(isi Tanggal dikeluarkan)",$A144&amp;"/"&amp;Kegiatan!$B$15&amp;"/"&amp;ROMAN(MONTH(Kegiatan!$B$3))&amp;"/"&amp;YEAR(Kegiatan!$B$3))))</f>
        <v/>
      </c>
    </row>
    <row r="145" spans="1:9" x14ac:dyDescent="0.3">
      <c r="A145" s="8"/>
      <c r="B145" s="8"/>
      <c r="C145" s="8"/>
      <c r="D145" s="12"/>
      <c r="E145" s="13" t="str">
        <f>IF($B145="","",IFERROR(INDEX(Pegawai!$B:$B,MATCH($B145,Pegawai!$A:$A,0)),""))</f>
        <v/>
      </c>
      <c r="F145" s="13" t="str">
        <f>IF($B145="","",IFERROR(INDEX(Pegawai!$C:$C,MATCH($B145,Pegawai!$A:$A,0)),""))</f>
        <v/>
      </c>
      <c r="G145" s="13" t="str">
        <f>IF($B145="","",IFERROR(INDEX(Pegawai!$D:$D,MATCH($B145,Pegawai!$A:$A,0)),""))</f>
        <v/>
      </c>
      <c r="H145" s="13" t="str">
        <f>IF($B145="","",IF(ISNA(MATCH($B145,Pegawai!$A:$A,0)),"Nama tidak ada di daftar Pegawai",IF($A145="","Nomor SPD belum diisi",IF($C145="","Tempat tujuan kosong",IF(NOT(ISNUMBER($D145)),"Tanggal kosong/bukan tanggal",IF(COUNTIF($B$2:$B$200,$B145)&gt;6,"OK",IF(COUNTIFS($B$2:$B$200,$B145,$A$2:$A$200,"&lt;&gt;"&amp;$A145)&gt;0,"Nomor SPD berbeda untuk pegawai yang sama","OK")))))))</f>
        <v/>
      </c>
      <c r="I145" s="13" t="str">
        <f>IF($A145="","",IF(ISNUMBER(SEARCH("/",$A145)),$A145,IF(Kegiatan!$B$3="","(isi Tanggal dikeluarkan)",$A145&amp;"/"&amp;Kegiatan!$B$15&amp;"/"&amp;ROMAN(MONTH(Kegiatan!$B$3))&amp;"/"&amp;YEAR(Kegiatan!$B$3))))</f>
        <v/>
      </c>
    </row>
    <row r="146" spans="1:9" x14ac:dyDescent="0.3">
      <c r="A146" s="8"/>
      <c r="B146" s="8"/>
      <c r="C146" s="8"/>
      <c r="D146" s="12"/>
      <c r="E146" s="13" t="str">
        <f>IF($B146="","",IFERROR(INDEX(Pegawai!$B:$B,MATCH($B146,Pegawai!$A:$A,0)),""))</f>
        <v/>
      </c>
      <c r="F146" s="13" t="str">
        <f>IF($B146="","",IFERROR(INDEX(Pegawai!$C:$C,MATCH($B146,Pegawai!$A:$A,0)),""))</f>
        <v/>
      </c>
      <c r="G146" s="13" t="str">
        <f>IF($B146="","",IFERROR(INDEX(Pegawai!$D:$D,MATCH($B146,Pegawai!$A:$A,0)),""))</f>
        <v/>
      </c>
      <c r="H146" s="13" t="str">
        <f>IF($B146="","",IF(ISNA(MATCH($B146,Pegawai!$A:$A,0)),"Nama tidak ada di daftar Pegawai",IF($A146="","Nomor SPD belum diisi",IF($C146="","Tempat tujuan kosong",IF(NOT(ISNUMBER($D146)),"Tanggal kosong/bukan tanggal",IF(COUNTIF($B$2:$B$200,$B146)&gt;6,"OK",IF(COUNTIFS($B$2:$B$200,$B146,$A$2:$A$200,"&lt;&gt;"&amp;$A146)&gt;0,"Nomor SPD berbeda untuk pegawai yang sama","OK")))))))</f>
        <v/>
      </c>
      <c r="I146" s="13" t="str">
        <f>IF($A146="","",IF(ISNUMBER(SEARCH("/",$A146)),$A146,IF(Kegiatan!$B$3="","(isi Tanggal dikeluarkan)",$A146&amp;"/"&amp;Kegiatan!$B$15&amp;"/"&amp;ROMAN(MONTH(Kegiatan!$B$3))&amp;"/"&amp;YEAR(Kegiatan!$B$3))))</f>
        <v/>
      </c>
    </row>
    <row r="147" spans="1:9" x14ac:dyDescent="0.3">
      <c r="A147" s="8"/>
      <c r="B147" s="8"/>
      <c r="C147" s="8"/>
      <c r="D147" s="12"/>
      <c r="E147" s="13" t="str">
        <f>IF($B147="","",IFERROR(INDEX(Pegawai!$B:$B,MATCH($B147,Pegawai!$A:$A,0)),""))</f>
        <v/>
      </c>
      <c r="F147" s="13" t="str">
        <f>IF($B147="","",IFERROR(INDEX(Pegawai!$C:$C,MATCH($B147,Pegawai!$A:$A,0)),""))</f>
        <v/>
      </c>
      <c r="G147" s="13" t="str">
        <f>IF($B147="","",IFERROR(INDEX(Pegawai!$D:$D,MATCH($B147,Pegawai!$A:$A,0)),""))</f>
        <v/>
      </c>
      <c r="H147" s="13" t="str">
        <f>IF($B147="","",IF(ISNA(MATCH($B147,Pegawai!$A:$A,0)),"Nama tidak ada di daftar Pegawai",IF($A147="","Nomor SPD belum diisi",IF($C147="","Tempat tujuan kosong",IF(NOT(ISNUMBER($D147)),"Tanggal kosong/bukan tanggal",IF(COUNTIF($B$2:$B$200,$B147)&gt;6,"OK",IF(COUNTIFS($B$2:$B$200,$B147,$A$2:$A$200,"&lt;&gt;"&amp;$A147)&gt;0,"Nomor SPD berbeda untuk pegawai yang sama","OK")))))))</f>
        <v/>
      </c>
      <c r="I147" s="13" t="str">
        <f>IF($A147="","",IF(ISNUMBER(SEARCH("/",$A147)),$A147,IF(Kegiatan!$B$3="","(isi Tanggal dikeluarkan)",$A147&amp;"/"&amp;Kegiatan!$B$15&amp;"/"&amp;ROMAN(MONTH(Kegiatan!$B$3))&amp;"/"&amp;YEAR(Kegiatan!$B$3))))</f>
        <v/>
      </c>
    </row>
    <row r="148" spans="1:9" x14ac:dyDescent="0.3">
      <c r="A148" s="8"/>
      <c r="B148" s="8"/>
      <c r="C148" s="8"/>
      <c r="D148" s="12"/>
      <c r="E148" s="13" t="str">
        <f>IF($B148="","",IFERROR(INDEX(Pegawai!$B:$B,MATCH($B148,Pegawai!$A:$A,0)),""))</f>
        <v/>
      </c>
      <c r="F148" s="13" t="str">
        <f>IF($B148="","",IFERROR(INDEX(Pegawai!$C:$C,MATCH($B148,Pegawai!$A:$A,0)),""))</f>
        <v/>
      </c>
      <c r="G148" s="13" t="str">
        <f>IF($B148="","",IFERROR(INDEX(Pegawai!$D:$D,MATCH($B148,Pegawai!$A:$A,0)),""))</f>
        <v/>
      </c>
      <c r="H148" s="13" t="str">
        <f>IF($B148="","",IF(ISNA(MATCH($B148,Pegawai!$A:$A,0)),"Nama tidak ada di daftar Pegawai",IF($A148="","Nomor SPD belum diisi",IF($C148="","Tempat tujuan kosong",IF(NOT(ISNUMBER($D148)),"Tanggal kosong/bukan tanggal",IF(COUNTIF($B$2:$B$200,$B148)&gt;6,"OK",IF(COUNTIFS($B$2:$B$200,$B148,$A$2:$A$200,"&lt;&gt;"&amp;$A148)&gt;0,"Nomor SPD berbeda untuk pegawai yang sama","OK")))))))</f>
        <v/>
      </c>
      <c r="I148" s="13" t="str">
        <f>IF($A148="","",IF(ISNUMBER(SEARCH("/",$A148)),$A148,IF(Kegiatan!$B$3="","(isi Tanggal dikeluarkan)",$A148&amp;"/"&amp;Kegiatan!$B$15&amp;"/"&amp;ROMAN(MONTH(Kegiatan!$B$3))&amp;"/"&amp;YEAR(Kegiatan!$B$3))))</f>
        <v/>
      </c>
    </row>
    <row r="149" spans="1:9" x14ac:dyDescent="0.3">
      <c r="A149" s="8"/>
      <c r="B149" s="8"/>
      <c r="C149" s="8"/>
      <c r="D149" s="12"/>
      <c r="E149" s="13" t="str">
        <f>IF($B149="","",IFERROR(INDEX(Pegawai!$B:$B,MATCH($B149,Pegawai!$A:$A,0)),""))</f>
        <v/>
      </c>
      <c r="F149" s="13" t="str">
        <f>IF($B149="","",IFERROR(INDEX(Pegawai!$C:$C,MATCH($B149,Pegawai!$A:$A,0)),""))</f>
        <v/>
      </c>
      <c r="G149" s="13" t="str">
        <f>IF($B149="","",IFERROR(INDEX(Pegawai!$D:$D,MATCH($B149,Pegawai!$A:$A,0)),""))</f>
        <v/>
      </c>
      <c r="H149" s="13" t="str">
        <f>IF($B149="","",IF(ISNA(MATCH($B149,Pegawai!$A:$A,0)),"Nama tidak ada di daftar Pegawai",IF($A149="","Nomor SPD belum diisi",IF($C149="","Tempat tujuan kosong",IF(NOT(ISNUMBER($D149)),"Tanggal kosong/bukan tanggal",IF(COUNTIF($B$2:$B$200,$B149)&gt;6,"OK",IF(COUNTIFS($B$2:$B$200,$B149,$A$2:$A$200,"&lt;&gt;"&amp;$A149)&gt;0,"Nomor SPD berbeda untuk pegawai yang sama","OK")))))))</f>
        <v/>
      </c>
      <c r="I149" s="13" t="str">
        <f>IF($A149="","",IF(ISNUMBER(SEARCH("/",$A149)),$A149,IF(Kegiatan!$B$3="","(isi Tanggal dikeluarkan)",$A149&amp;"/"&amp;Kegiatan!$B$15&amp;"/"&amp;ROMAN(MONTH(Kegiatan!$B$3))&amp;"/"&amp;YEAR(Kegiatan!$B$3))))</f>
        <v/>
      </c>
    </row>
    <row r="150" spans="1:9" x14ac:dyDescent="0.3">
      <c r="A150" s="8"/>
      <c r="B150" s="8"/>
      <c r="C150" s="8"/>
      <c r="D150" s="12"/>
      <c r="E150" s="13" t="str">
        <f>IF($B150="","",IFERROR(INDEX(Pegawai!$B:$B,MATCH($B150,Pegawai!$A:$A,0)),""))</f>
        <v/>
      </c>
      <c r="F150" s="13" t="str">
        <f>IF($B150="","",IFERROR(INDEX(Pegawai!$C:$C,MATCH($B150,Pegawai!$A:$A,0)),""))</f>
        <v/>
      </c>
      <c r="G150" s="13" t="str">
        <f>IF($B150="","",IFERROR(INDEX(Pegawai!$D:$D,MATCH($B150,Pegawai!$A:$A,0)),""))</f>
        <v/>
      </c>
      <c r="H150" s="13" t="str">
        <f>IF($B150="","",IF(ISNA(MATCH($B150,Pegawai!$A:$A,0)),"Nama tidak ada di daftar Pegawai",IF($A150="","Nomor SPD belum diisi",IF($C150="","Tempat tujuan kosong",IF(NOT(ISNUMBER($D150)),"Tanggal kosong/bukan tanggal",IF(COUNTIF($B$2:$B$200,$B150)&gt;6,"OK",IF(COUNTIFS($B$2:$B$200,$B150,$A$2:$A$200,"&lt;&gt;"&amp;$A150)&gt;0,"Nomor SPD berbeda untuk pegawai yang sama","OK")))))))</f>
        <v/>
      </c>
      <c r="I150" s="13" t="str">
        <f>IF($A150="","",IF(ISNUMBER(SEARCH("/",$A150)),$A150,IF(Kegiatan!$B$3="","(isi Tanggal dikeluarkan)",$A150&amp;"/"&amp;Kegiatan!$B$15&amp;"/"&amp;ROMAN(MONTH(Kegiatan!$B$3))&amp;"/"&amp;YEAR(Kegiatan!$B$3))))</f>
        <v/>
      </c>
    </row>
    <row r="151" spans="1:9" x14ac:dyDescent="0.3">
      <c r="A151" s="8"/>
      <c r="B151" s="8"/>
      <c r="C151" s="8"/>
      <c r="D151" s="12"/>
      <c r="E151" s="13" t="str">
        <f>IF($B151="","",IFERROR(INDEX(Pegawai!$B:$B,MATCH($B151,Pegawai!$A:$A,0)),""))</f>
        <v/>
      </c>
      <c r="F151" s="13" t="str">
        <f>IF($B151="","",IFERROR(INDEX(Pegawai!$C:$C,MATCH($B151,Pegawai!$A:$A,0)),""))</f>
        <v/>
      </c>
      <c r="G151" s="13" t="str">
        <f>IF($B151="","",IFERROR(INDEX(Pegawai!$D:$D,MATCH($B151,Pegawai!$A:$A,0)),""))</f>
        <v/>
      </c>
      <c r="H151" s="13" t="str">
        <f>IF($B151="","",IF(ISNA(MATCH($B151,Pegawai!$A:$A,0)),"Nama tidak ada di daftar Pegawai",IF($A151="","Nomor SPD belum diisi",IF($C151="","Tempat tujuan kosong",IF(NOT(ISNUMBER($D151)),"Tanggal kosong/bukan tanggal",IF(COUNTIF($B$2:$B$200,$B151)&gt;6,"OK",IF(COUNTIFS($B$2:$B$200,$B151,$A$2:$A$200,"&lt;&gt;"&amp;$A151)&gt;0,"Nomor SPD berbeda untuk pegawai yang sama","OK")))))))</f>
        <v/>
      </c>
      <c r="I151" s="13" t="str">
        <f>IF($A151="","",IF(ISNUMBER(SEARCH("/",$A151)),$A151,IF(Kegiatan!$B$3="","(isi Tanggal dikeluarkan)",$A151&amp;"/"&amp;Kegiatan!$B$15&amp;"/"&amp;ROMAN(MONTH(Kegiatan!$B$3))&amp;"/"&amp;YEAR(Kegiatan!$B$3))))</f>
        <v/>
      </c>
    </row>
    <row r="152" spans="1:9" x14ac:dyDescent="0.3">
      <c r="A152" s="8"/>
      <c r="B152" s="8"/>
      <c r="C152" s="8"/>
      <c r="D152" s="12"/>
      <c r="E152" s="13" t="str">
        <f>IF($B152="","",IFERROR(INDEX(Pegawai!$B:$B,MATCH($B152,Pegawai!$A:$A,0)),""))</f>
        <v/>
      </c>
      <c r="F152" s="13" t="str">
        <f>IF($B152="","",IFERROR(INDEX(Pegawai!$C:$C,MATCH($B152,Pegawai!$A:$A,0)),""))</f>
        <v/>
      </c>
      <c r="G152" s="13" t="str">
        <f>IF($B152="","",IFERROR(INDEX(Pegawai!$D:$D,MATCH($B152,Pegawai!$A:$A,0)),""))</f>
        <v/>
      </c>
      <c r="H152" s="13" t="str">
        <f>IF($B152="","",IF(ISNA(MATCH($B152,Pegawai!$A:$A,0)),"Nama tidak ada di daftar Pegawai",IF($A152="","Nomor SPD belum diisi",IF($C152="","Tempat tujuan kosong",IF(NOT(ISNUMBER($D152)),"Tanggal kosong/bukan tanggal",IF(COUNTIF($B$2:$B$200,$B152)&gt;6,"OK",IF(COUNTIFS($B$2:$B$200,$B152,$A$2:$A$200,"&lt;&gt;"&amp;$A152)&gt;0,"Nomor SPD berbeda untuk pegawai yang sama","OK")))))))</f>
        <v/>
      </c>
      <c r="I152" s="13" t="str">
        <f>IF($A152="","",IF(ISNUMBER(SEARCH("/",$A152)),$A152,IF(Kegiatan!$B$3="","(isi Tanggal dikeluarkan)",$A152&amp;"/"&amp;Kegiatan!$B$15&amp;"/"&amp;ROMAN(MONTH(Kegiatan!$B$3))&amp;"/"&amp;YEAR(Kegiatan!$B$3))))</f>
        <v/>
      </c>
    </row>
    <row r="153" spans="1:9" x14ac:dyDescent="0.3">
      <c r="A153" s="8"/>
      <c r="B153" s="8"/>
      <c r="C153" s="8"/>
      <c r="D153" s="12"/>
      <c r="E153" s="13" t="str">
        <f>IF($B153="","",IFERROR(INDEX(Pegawai!$B:$B,MATCH($B153,Pegawai!$A:$A,0)),""))</f>
        <v/>
      </c>
      <c r="F153" s="13" t="str">
        <f>IF($B153="","",IFERROR(INDEX(Pegawai!$C:$C,MATCH($B153,Pegawai!$A:$A,0)),""))</f>
        <v/>
      </c>
      <c r="G153" s="13" t="str">
        <f>IF($B153="","",IFERROR(INDEX(Pegawai!$D:$D,MATCH($B153,Pegawai!$A:$A,0)),""))</f>
        <v/>
      </c>
      <c r="H153" s="13" t="str">
        <f>IF($B153="","",IF(ISNA(MATCH($B153,Pegawai!$A:$A,0)),"Nama tidak ada di daftar Pegawai",IF($A153="","Nomor SPD belum diisi",IF($C153="","Tempat tujuan kosong",IF(NOT(ISNUMBER($D153)),"Tanggal kosong/bukan tanggal",IF(COUNTIF($B$2:$B$200,$B153)&gt;6,"OK",IF(COUNTIFS($B$2:$B$200,$B153,$A$2:$A$200,"&lt;&gt;"&amp;$A153)&gt;0,"Nomor SPD berbeda untuk pegawai yang sama","OK")))))))</f>
        <v/>
      </c>
      <c r="I153" s="13" t="str">
        <f>IF($A153="","",IF(ISNUMBER(SEARCH("/",$A153)),$A153,IF(Kegiatan!$B$3="","(isi Tanggal dikeluarkan)",$A153&amp;"/"&amp;Kegiatan!$B$15&amp;"/"&amp;ROMAN(MONTH(Kegiatan!$B$3))&amp;"/"&amp;YEAR(Kegiatan!$B$3))))</f>
        <v/>
      </c>
    </row>
    <row r="154" spans="1:9" x14ac:dyDescent="0.3">
      <c r="A154" s="8"/>
      <c r="B154" s="8"/>
      <c r="C154" s="8"/>
      <c r="D154" s="12"/>
      <c r="E154" s="13" t="str">
        <f>IF($B154="","",IFERROR(INDEX(Pegawai!$B:$B,MATCH($B154,Pegawai!$A:$A,0)),""))</f>
        <v/>
      </c>
      <c r="F154" s="13" t="str">
        <f>IF($B154="","",IFERROR(INDEX(Pegawai!$C:$C,MATCH($B154,Pegawai!$A:$A,0)),""))</f>
        <v/>
      </c>
      <c r="G154" s="13" t="str">
        <f>IF($B154="","",IFERROR(INDEX(Pegawai!$D:$D,MATCH($B154,Pegawai!$A:$A,0)),""))</f>
        <v/>
      </c>
      <c r="H154" s="13" t="str">
        <f>IF($B154="","",IF(ISNA(MATCH($B154,Pegawai!$A:$A,0)),"Nama tidak ada di daftar Pegawai",IF($A154="","Nomor SPD belum diisi",IF($C154="","Tempat tujuan kosong",IF(NOT(ISNUMBER($D154)),"Tanggal kosong/bukan tanggal",IF(COUNTIF($B$2:$B$200,$B154)&gt;6,"OK",IF(COUNTIFS($B$2:$B$200,$B154,$A$2:$A$200,"&lt;&gt;"&amp;$A154)&gt;0,"Nomor SPD berbeda untuk pegawai yang sama","OK")))))))</f>
        <v/>
      </c>
      <c r="I154" s="13" t="str">
        <f>IF($A154="","",IF(ISNUMBER(SEARCH("/",$A154)),$A154,IF(Kegiatan!$B$3="","(isi Tanggal dikeluarkan)",$A154&amp;"/"&amp;Kegiatan!$B$15&amp;"/"&amp;ROMAN(MONTH(Kegiatan!$B$3))&amp;"/"&amp;YEAR(Kegiatan!$B$3))))</f>
        <v/>
      </c>
    </row>
    <row r="155" spans="1:9" x14ac:dyDescent="0.3">
      <c r="A155" s="8"/>
      <c r="B155" s="8"/>
      <c r="C155" s="8"/>
      <c r="D155" s="12"/>
      <c r="E155" s="13" t="str">
        <f>IF($B155="","",IFERROR(INDEX(Pegawai!$B:$B,MATCH($B155,Pegawai!$A:$A,0)),""))</f>
        <v/>
      </c>
      <c r="F155" s="13" t="str">
        <f>IF($B155="","",IFERROR(INDEX(Pegawai!$C:$C,MATCH($B155,Pegawai!$A:$A,0)),""))</f>
        <v/>
      </c>
      <c r="G155" s="13" t="str">
        <f>IF($B155="","",IFERROR(INDEX(Pegawai!$D:$D,MATCH($B155,Pegawai!$A:$A,0)),""))</f>
        <v/>
      </c>
      <c r="H155" s="13" t="str">
        <f>IF($B155="","",IF(ISNA(MATCH($B155,Pegawai!$A:$A,0)),"Nama tidak ada di daftar Pegawai",IF($A155="","Nomor SPD belum diisi",IF($C155="","Tempat tujuan kosong",IF(NOT(ISNUMBER($D155)),"Tanggal kosong/bukan tanggal",IF(COUNTIF($B$2:$B$200,$B155)&gt;6,"OK",IF(COUNTIFS($B$2:$B$200,$B155,$A$2:$A$200,"&lt;&gt;"&amp;$A155)&gt;0,"Nomor SPD berbeda untuk pegawai yang sama","OK")))))))</f>
        <v/>
      </c>
      <c r="I155" s="13" t="str">
        <f>IF($A155="","",IF(ISNUMBER(SEARCH("/",$A155)),$A155,IF(Kegiatan!$B$3="","(isi Tanggal dikeluarkan)",$A155&amp;"/"&amp;Kegiatan!$B$15&amp;"/"&amp;ROMAN(MONTH(Kegiatan!$B$3))&amp;"/"&amp;YEAR(Kegiatan!$B$3))))</f>
        <v/>
      </c>
    </row>
    <row r="156" spans="1:9" x14ac:dyDescent="0.3">
      <c r="A156" s="8"/>
      <c r="B156" s="8"/>
      <c r="C156" s="8"/>
      <c r="D156" s="12"/>
      <c r="E156" s="13" t="str">
        <f>IF($B156="","",IFERROR(INDEX(Pegawai!$B:$B,MATCH($B156,Pegawai!$A:$A,0)),""))</f>
        <v/>
      </c>
      <c r="F156" s="13" t="str">
        <f>IF($B156="","",IFERROR(INDEX(Pegawai!$C:$C,MATCH($B156,Pegawai!$A:$A,0)),""))</f>
        <v/>
      </c>
      <c r="G156" s="13" t="str">
        <f>IF($B156="","",IFERROR(INDEX(Pegawai!$D:$D,MATCH($B156,Pegawai!$A:$A,0)),""))</f>
        <v/>
      </c>
      <c r="H156" s="13" t="str">
        <f>IF($B156="","",IF(ISNA(MATCH($B156,Pegawai!$A:$A,0)),"Nama tidak ada di daftar Pegawai",IF($A156="","Nomor SPD belum diisi",IF($C156="","Tempat tujuan kosong",IF(NOT(ISNUMBER($D156)),"Tanggal kosong/bukan tanggal",IF(COUNTIF($B$2:$B$200,$B156)&gt;6,"OK",IF(COUNTIFS($B$2:$B$200,$B156,$A$2:$A$200,"&lt;&gt;"&amp;$A156)&gt;0,"Nomor SPD berbeda untuk pegawai yang sama","OK")))))))</f>
        <v/>
      </c>
      <c r="I156" s="13" t="str">
        <f>IF($A156="","",IF(ISNUMBER(SEARCH("/",$A156)),$A156,IF(Kegiatan!$B$3="","(isi Tanggal dikeluarkan)",$A156&amp;"/"&amp;Kegiatan!$B$15&amp;"/"&amp;ROMAN(MONTH(Kegiatan!$B$3))&amp;"/"&amp;YEAR(Kegiatan!$B$3))))</f>
        <v/>
      </c>
    </row>
    <row r="157" spans="1:9" x14ac:dyDescent="0.3">
      <c r="A157" s="8"/>
      <c r="B157" s="8"/>
      <c r="C157" s="8"/>
      <c r="D157" s="12"/>
      <c r="E157" s="13" t="str">
        <f>IF($B157="","",IFERROR(INDEX(Pegawai!$B:$B,MATCH($B157,Pegawai!$A:$A,0)),""))</f>
        <v/>
      </c>
      <c r="F157" s="13" t="str">
        <f>IF($B157="","",IFERROR(INDEX(Pegawai!$C:$C,MATCH($B157,Pegawai!$A:$A,0)),""))</f>
        <v/>
      </c>
      <c r="G157" s="13" t="str">
        <f>IF($B157="","",IFERROR(INDEX(Pegawai!$D:$D,MATCH($B157,Pegawai!$A:$A,0)),""))</f>
        <v/>
      </c>
      <c r="H157" s="13" t="str">
        <f>IF($B157="","",IF(ISNA(MATCH($B157,Pegawai!$A:$A,0)),"Nama tidak ada di daftar Pegawai",IF($A157="","Nomor SPD belum diisi",IF($C157="","Tempat tujuan kosong",IF(NOT(ISNUMBER($D157)),"Tanggal kosong/bukan tanggal",IF(COUNTIF($B$2:$B$200,$B157)&gt;6,"OK",IF(COUNTIFS($B$2:$B$200,$B157,$A$2:$A$200,"&lt;&gt;"&amp;$A157)&gt;0,"Nomor SPD berbeda untuk pegawai yang sama","OK")))))))</f>
        <v/>
      </c>
      <c r="I157" s="13" t="str">
        <f>IF($A157="","",IF(ISNUMBER(SEARCH("/",$A157)),$A157,IF(Kegiatan!$B$3="","(isi Tanggal dikeluarkan)",$A157&amp;"/"&amp;Kegiatan!$B$15&amp;"/"&amp;ROMAN(MONTH(Kegiatan!$B$3))&amp;"/"&amp;YEAR(Kegiatan!$B$3))))</f>
        <v/>
      </c>
    </row>
    <row r="158" spans="1:9" x14ac:dyDescent="0.3">
      <c r="A158" s="8"/>
      <c r="B158" s="8"/>
      <c r="C158" s="8"/>
      <c r="D158" s="12"/>
      <c r="E158" s="13" t="str">
        <f>IF($B158="","",IFERROR(INDEX(Pegawai!$B:$B,MATCH($B158,Pegawai!$A:$A,0)),""))</f>
        <v/>
      </c>
      <c r="F158" s="13" t="str">
        <f>IF($B158="","",IFERROR(INDEX(Pegawai!$C:$C,MATCH($B158,Pegawai!$A:$A,0)),""))</f>
        <v/>
      </c>
      <c r="G158" s="13" t="str">
        <f>IF($B158="","",IFERROR(INDEX(Pegawai!$D:$D,MATCH($B158,Pegawai!$A:$A,0)),""))</f>
        <v/>
      </c>
      <c r="H158" s="13" t="str">
        <f>IF($B158="","",IF(ISNA(MATCH($B158,Pegawai!$A:$A,0)),"Nama tidak ada di daftar Pegawai",IF($A158="","Nomor SPD belum diisi",IF($C158="","Tempat tujuan kosong",IF(NOT(ISNUMBER($D158)),"Tanggal kosong/bukan tanggal",IF(COUNTIF($B$2:$B$200,$B158)&gt;6,"OK",IF(COUNTIFS($B$2:$B$200,$B158,$A$2:$A$200,"&lt;&gt;"&amp;$A158)&gt;0,"Nomor SPD berbeda untuk pegawai yang sama","OK")))))))</f>
        <v/>
      </c>
      <c r="I158" s="13" t="str">
        <f>IF($A158="","",IF(ISNUMBER(SEARCH("/",$A158)),$A158,IF(Kegiatan!$B$3="","(isi Tanggal dikeluarkan)",$A158&amp;"/"&amp;Kegiatan!$B$15&amp;"/"&amp;ROMAN(MONTH(Kegiatan!$B$3))&amp;"/"&amp;YEAR(Kegiatan!$B$3))))</f>
        <v/>
      </c>
    </row>
    <row r="159" spans="1:9" x14ac:dyDescent="0.3">
      <c r="A159" s="8"/>
      <c r="B159" s="8"/>
      <c r="C159" s="8"/>
      <c r="D159" s="12"/>
      <c r="E159" s="13" t="str">
        <f>IF($B159="","",IFERROR(INDEX(Pegawai!$B:$B,MATCH($B159,Pegawai!$A:$A,0)),""))</f>
        <v/>
      </c>
      <c r="F159" s="13" t="str">
        <f>IF($B159="","",IFERROR(INDEX(Pegawai!$C:$C,MATCH($B159,Pegawai!$A:$A,0)),""))</f>
        <v/>
      </c>
      <c r="G159" s="13" t="str">
        <f>IF($B159="","",IFERROR(INDEX(Pegawai!$D:$D,MATCH($B159,Pegawai!$A:$A,0)),""))</f>
        <v/>
      </c>
      <c r="H159" s="13" t="str">
        <f>IF($B159="","",IF(ISNA(MATCH($B159,Pegawai!$A:$A,0)),"Nama tidak ada di daftar Pegawai",IF($A159="","Nomor SPD belum diisi",IF($C159="","Tempat tujuan kosong",IF(NOT(ISNUMBER($D159)),"Tanggal kosong/bukan tanggal",IF(COUNTIF($B$2:$B$200,$B159)&gt;6,"OK",IF(COUNTIFS($B$2:$B$200,$B159,$A$2:$A$200,"&lt;&gt;"&amp;$A159)&gt;0,"Nomor SPD berbeda untuk pegawai yang sama","OK")))))))</f>
        <v/>
      </c>
      <c r="I159" s="13" t="str">
        <f>IF($A159="","",IF(ISNUMBER(SEARCH("/",$A159)),$A159,IF(Kegiatan!$B$3="","(isi Tanggal dikeluarkan)",$A159&amp;"/"&amp;Kegiatan!$B$15&amp;"/"&amp;ROMAN(MONTH(Kegiatan!$B$3))&amp;"/"&amp;YEAR(Kegiatan!$B$3))))</f>
        <v/>
      </c>
    </row>
    <row r="160" spans="1:9" x14ac:dyDescent="0.3">
      <c r="A160" s="8"/>
      <c r="B160" s="8"/>
      <c r="C160" s="8"/>
      <c r="D160" s="12"/>
      <c r="E160" s="13" t="str">
        <f>IF($B160="","",IFERROR(INDEX(Pegawai!$B:$B,MATCH($B160,Pegawai!$A:$A,0)),""))</f>
        <v/>
      </c>
      <c r="F160" s="13" t="str">
        <f>IF($B160="","",IFERROR(INDEX(Pegawai!$C:$C,MATCH($B160,Pegawai!$A:$A,0)),""))</f>
        <v/>
      </c>
      <c r="G160" s="13" t="str">
        <f>IF($B160="","",IFERROR(INDEX(Pegawai!$D:$D,MATCH($B160,Pegawai!$A:$A,0)),""))</f>
        <v/>
      </c>
      <c r="H160" s="13" t="str">
        <f>IF($B160="","",IF(ISNA(MATCH($B160,Pegawai!$A:$A,0)),"Nama tidak ada di daftar Pegawai",IF($A160="","Nomor SPD belum diisi",IF($C160="","Tempat tujuan kosong",IF(NOT(ISNUMBER($D160)),"Tanggal kosong/bukan tanggal",IF(COUNTIF($B$2:$B$200,$B160)&gt;6,"OK",IF(COUNTIFS($B$2:$B$200,$B160,$A$2:$A$200,"&lt;&gt;"&amp;$A160)&gt;0,"Nomor SPD berbeda untuk pegawai yang sama","OK")))))))</f>
        <v/>
      </c>
      <c r="I160" s="13" t="str">
        <f>IF($A160="","",IF(ISNUMBER(SEARCH("/",$A160)),$A160,IF(Kegiatan!$B$3="","(isi Tanggal dikeluarkan)",$A160&amp;"/"&amp;Kegiatan!$B$15&amp;"/"&amp;ROMAN(MONTH(Kegiatan!$B$3))&amp;"/"&amp;YEAR(Kegiatan!$B$3))))</f>
        <v/>
      </c>
    </row>
    <row r="161" spans="1:9" x14ac:dyDescent="0.3">
      <c r="A161" s="8"/>
      <c r="B161" s="8"/>
      <c r="C161" s="8"/>
      <c r="D161" s="12"/>
      <c r="E161" s="13" t="str">
        <f>IF($B161="","",IFERROR(INDEX(Pegawai!$B:$B,MATCH($B161,Pegawai!$A:$A,0)),""))</f>
        <v/>
      </c>
      <c r="F161" s="13" t="str">
        <f>IF($B161="","",IFERROR(INDEX(Pegawai!$C:$C,MATCH($B161,Pegawai!$A:$A,0)),""))</f>
        <v/>
      </c>
      <c r="G161" s="13" t="str">
        <f>IF($B161="","",IFERROR(INDEX(Pegawai!$D:$D,MATCH($B161,Pegawai!$A:$A,0)),""))</f>
        <v/>
      </c>
      <c r="H161" s="13" t="str">
        <f>IF($B161="","",IF(ISNA(MATCH($B161,Pegawai!$A:$A,0)),"Nama tidak ada di daftar Pegawai",IF($A161="","Nomor SPD belum diisi",IF($C161="","Tempat tujuan kosong",IF(NOT(ISNUMBER($D161)),"Tanggal kosong/bukan tanggal",IF(COUNTIF($B$2:$B$200,$B161)&gt;6,"OK",IF(COUNTIFS($B$2:$B$200,$B161,$A$2:$A$200,"&lt;&gt;"&amp;$A161)&gt;0,"Nomor SPD berbeda untuk pegawai yang sama","OK")))))))</f>
        <v/>
      </c>
      <c r="I161" s="13" t="str">
        <f>IF($A161="","",IF(ISNUMBER(SEARCH("/",$A161)),$A161,IF(Kegiatan!$B$3="","(isi Tanggal dikeluarkan)",$A161&amp;"/"&amp;Kegiatan!$B$15&amp;"/"&amp;ROMAN(MONTH(Kegiatan!$B$3))&amp;"/"&amp;YEAR(Kegiatan!$B$3))))</f>
        <v/>
      </c>
    </row>
    <row r="162" spans="1:9" x14ac:dyDescent="0.3">
      <c r="A162" s="8"/>
      <c r="B162" s="8"/>
      <c r="C162" s="8"/>
      <c r="D162" s="12"/>
      <c r="E162" s="13" t="str">
        <f>IF($B162="","",IFERROR(INDEX(Pegawai!$B:$B,MATCH($B162,Pegawai!$A:$A,0)),""))</f>
        <v/>
      </c>
      <c r="F162" s="13" t="str">
        <f>IF($B162="","",IFERROR(INDEX(Pegawai!$C:$C,MATCH($B162,Pegawai!$A:$A,0)),""))</f>
        <v/>
      </c>
      <c r="G162" s="13" t="str">
        <f>IF($B162="","",IFERROR(INDEX(Pegawai!$D:$D,MATCH($B162,Pegawai!$A:$A,0)),""))</f>
        <v/>
      </c>
      <c r="H162" s="13" t="str">
        <f>IF($B162="","",IF(ISNA(MATCH($B162,Pegawai!$A:$A,0)),"Nama tidak ada di daftar Pegawai",IF($A162="","Nomor SPD belum diisi",IF($C162="","Tempat tujuan kosong",IF(NOT(ISNUMBER($D162)),"Tanggal kosong/bukan tanggal",IF(COUNTIF($B$2:$B$200,$B162)&gt;6,"OK",IF(COUNTIFS($B$2:$B$200,$B162,$A$2:$A$200,"&lt;&gt;"&amp;$A162)&gt;0,"Nomor SPD berbeda untuk pegawai yang sama","OK")))))))</f>
        <v/>
      </c>
      <c r="I162" s="13" t="str">
        <f>IF($A162="","",IF(ISNUMBER(SEARCH("/",$A162)),$A162,IF(Kegiatan!$B$3="","(isi Tanggal dikeluarkan)",$A162&amp;"/"&amp;Kegiatan!$B$15&amp;"/"&amp;ROMAN(MONTH(Kegiatan!$B$3))&amp;"/"&amp;YEAR(Kegiatan!$B$3))))</f>
        <v/>
      </c>
    </row>
    <row r="163" spans="1:9" x14ac:dyDescent="0.3">
      <c r="A163" s="8"/>
      <c r="B163" s="8"/>
      <c r="C163" s="8"/>
      <c r="D163" s="12"/>
      <c r="E163" s="13" t="str">
        <f>IF($B163="","",IFERROR(INDEX(Pegawai!$B:$B,MATCH($B163,Pegawai!$A:$A,0)),""))</f>
        <v/>
      </c>
      <c r="F163" s="13" t="str">
        <f>IF($B163="","",IFERROR(INDEX(Pegawai!$C:$C,MATCH($B163,Pegawai!$A:$A,0)),""))</f>
        <v/>
      </c>
      <c r="G163" s="13" t="str">
        <f>IF($B163="","",IFERROR(INDEX(Pegawai!$D:$D,MATCH($B163,Pegawai!$A:$A,0)),""))</f>
        <v/>
      </c>
      <c r="H163" s="13" t="str">
        <f>IF($B163="","",IF(ISNA(MATCH($B163,Pegawai!$A:$A,0)),"Nama tidak ada di daftar Pegawai",IF($A163="","Nomor SPD belum diisi",IF($C163="","Tempat tujuan kosong",IF(NOT(ISNUMBER($D163)),"Tanggal kosong/bukan tanggal",IF(COUNTIF($B$2:$B$200,$B163)&gt;6,"OK",IF(COUNTIFS($B$2:$B$200,$B163,$A$2:$A$200,"&lt;&gt;"&amp;$A163)&gt;0,"Nomor SPD berbeda untuk pegawai yang sama","OK")))))))</f>
        <v/>
      </c>
      <c r="I163" s="13" t="str">
        <f>IF($A163="","",IF(ISNUMBER(SEARCH("/",$A163)),$A163,IF(Kegiatan!$B$3="","(isi Tanggal dikeluarkan)",$A163&amp;"/"&amp;Kegiatan!$B$15&amp;"/"&amp;ROMAN(MONTH(Kegiatan!$B$3))&amp;"/"&amp;YEAR(Kegiatan!$B$3))))</f>
        <v/>
      </c>
    </row>
    <row r="164" spans="1:9" x14ac:dyDescent="0.3">
      <c r="A164" s="8"/>
      <c r="B164" s="8"/>
      <c r="C164" s="8"/>
      <c r="D164" s="12"/>
      <c r="E164" s="13" t="str">
        <f>IF($B164="","",IFERROR(INDEX(Pegawai!$B:$B,MATCH($B164,Pegawai!$A:$A,0)),""))</f>
        <v/>
      </c>
      <c r="F164" s="13" t="str">
        <f>IF($B164="","",IFERROR(INDEX(Pegawai!$C:$C,MATCH($B164,Pegawai!$A:$A,0)),""))</f>
        <v/>
      </c>
      <c r="G164" s="13" t="str">
        <f>IF($B164="","",IFERROR(INDEX(Pegawai!$D:$D,MATCH($B164,Pegawai!$A:$A,0)),""))</f>
        <v/>
      </c>
      <c r="H164" s="13" t="str">
        <f>IF($B164="","",IF(ISNA(MATCH($B164,Pegawai!$A:$A,0)),"Nama tidak ada di daftar Pegawai",IF($A164="","Nomor SPD belum diisi",IF($C164="","Tempat tujuan kosong",IF(NOT(ISNUMBER($D164)),"Tanggal kosong/bukan tanggal",IF(COUNTIF($B$2:$B$200,$B164)&gt;6,"OK",IF(COUNTIFS($B$2:$B$200,$B164,$A$2:$A$200,"&lt;&gt;"&amp;$A164)&gt;0,"Nomor SPD berbeda untuk pegawai yang sama","OK")))))))</f>
        <v/>
      </c>
      <c r="I164" s="13" t="str">
        <f>IF($A164="","",IF(ISNUMBER(SEARCH("/",$A164)),$A164,IF(Kegiatan!$B$3="","(isi Tanggal dikeluarkan)",$A164&amp;"/"&amp;Kegiatan!$B$15&amp;"/"&amp;ROMAN(MONTH(Kegiatan!$B$3))&amp;"/"&amp;YEAR(Kegiatan!$B$3))))</f>
        <v/>
      </c>
    </row>
    <row r="165" spans="1:9" x14ac:dyDescent="0.3">
      <c r="A165" s="8"/>
      <c r="B165" s="8"/>
      <c r="C165" s="8"/>
      <c r="D165" s="12"/>
      <c r="E165" s="13" t="str">
        <f>IF($B165="","",IFERROR(INDEX(Pegawai!$B:$B,MATCH($B165,Pegawai!$A:$A,0)),""))</f>
        <v/>
      </c>
      <c r="F165" s="13" t="str">
        <f>IF($B165="","",IFERROR(INDEX(Pegawai!$C:$C,MATCH($B165,Pegawai!$A:$A,0)),""))</f>
        <v/>
      </c>
      <c r="G165" s="13" t="str">
        <f>IF($B165="","",IFERROR(INDEX(Pegawai!$D:$D,MATCH($B165,Pegawai!$A:$A,0)),""))</f>
        <v/>
      </c>
      <c r="H165" s="13" t="str">
        <f>IF($B165="","",IF(ISNA(MATCH($B165,Pegawai!$A:$A,0)),"Nama tidak ada di daftar Pegawai",IF($A165="","Nomor SPD belum diisi",IF($C165="","Tempat tujuan kosong",IF(NOT(ISNUMBER($D165)),"Tanggal kosong/bukan tanggal",IF(COUNTIF($B$2:$B$200,$B165)&gt;6,"OK",IF(COUNTIFS($B$2:$B$200,$B165,$A$2:$A$200,"&lt;&gt;"&amp;$A165)&gt;0,"Nomor SPD berbeda untuk pegawai yang sama","OK")))))))</f>
        <v/>
      </c>
      <c r="I165" s="13" t="str">
        <f>IF($A165="","",IF(ISNUMBER(SEARCH("/",$A165)),$A165,IF(Kegiatan!$B$3="","(isi Tanggal dikeluarkan)",$A165&amp;"/"&amp;Kegiatan!$B$15&amp;"/"&amp;ROMAN(MONTH(Kegiatan!$B$3))&amp;"/"&amp;YEAR(Kegiatan!$B$3))))</f>
        <v/>
      </c>
    </row>
    <row r="166" spans="1:9" x14ac:dyDescent="0.3">
      <c r="A166" s="8"/>
      <c r="B166" s="8"/>
      <c r="C166" s="8"/>
      <c r="D166" s="12"/>
      <c r="E166" s="13" t="str">
        <f>IF($B166="","",IFERROR(INDEX(Pegawai!$B:$B,MATCH($B166,Pegawai!$A:$A,0)),""))</f>
        <v/>
      </c>
      <c r="F166" s="13" t="str">
        <f>IF($B166="","",IFERROR(INDEX(Pegawai!$C:$C,MATCH($B166,Pegawai!$A:$A,0)),""))</f>
        <v/>
      </c>
      <c r="G166" s="13" t="str">
        <f>IF($B166="","",IFERROR(INDEX(Pegawai!$D:$D,MATCH($B166,Pegawai!$A:$A,0)),""))</f>
        <v/>
      </c>
      <c r="H166" s="13" t="str">
        <f>IF($B166="","",IF(ISNA(MATCH($B166,Pegawai!$A:$A,0)),"Nama tidak ada di daftar Pegawai",IF($A166="","Nomor SPD belum diisi",IF($C166="","Tempat tujuan kosong",IF(NOT(ISNUMBER($D166)),"Tanggal kosong/bukan tanggal",IF(COUNTIF($B$2:$B$200,$B166)&gt;6,"OK",IF(COUNTIFS($B$2:$B$200,$B166,$A$2:$A$200,"&lt;&gt;"&amp;$A166)&gt;0,"Nomor SPD berbeda untuk pegawai yang sama","OK")))))))</f>
        <v/>
      </c>
      <c r="I166" s="13" t="str">
        <f>IF($A166="","",IF(ISNUMBER(SEARCH("/",$A166)),$A166,IF(Kegiatan!$B$3="","(isi Tanggal dikeluarkan)",$A166&amp;"/"&amp;Kegiatan!$B$15&amp;"/"&amp;ROMAN(MONTH(Kegiatan!$B$3))&amp;"/"&amp;YEAR(Kegiatan!$B$3))))</f>
        <v/>
      </c>
    </row>
    <row r="167" spans="1:9" x14ac:dyDescent="0.3">
      <c r="A167" s="8"/>
      <c r="B167" s="8"/>
      <c r="C167" s="8"/>
      <c r="D167" s="12"/>
      <c r="E167" s="13" t="str">
        <f>IF($B167="","",IFERROR(INDEX(Pegawai!$B:$B,MATCH($B167,Pegawai!$A:$A,0)),""))</f>
        <v/>
      </c>
      <c r="F167" s="13" t="str">
        <f>IF($B167="","",IFERROR(INDEX(Pegawai!$C:$C,MATCH($B167,Pegawai!$A:$A,0)),""))</f>
        <v/>
      </c>
      <c r="G167" s="13" t="str">
        <f>IF($B167="","",IFERROR(INDEX(Pegawai!$D:$D,MATCH($B167,Pegawai!$A:$A,0)),""))</f>
        <v/>
      </c>
      <c r="H167" s="13" t="str">
        <f>IF($B167="","",IF(ISNA(MATCH($B167,Pegawai!$A:$A,0)),"Nama tidak ada di daftar Pegawai",IF($A167="","Nomor SPD belum diisi",IF($C167="","Tempat tujuan kosong",IF(NOT(ISNUMBER($D167)),"Tanggal kosong/bukan tanggal",IF(COUNTIF($B$2:$B$200,$B167)&gt;6,"OK",IF(COUNTIFS($B$2:$B$200,$B167,$A$2:$A$200,"&lt;&gt;"&amp;$A167)&gt;0,"Nomor SPD berbeda untuk pegawai yang sama","OK")))))))</f>
        <v/>
      </c>
      <c r="I167" s="13" t="str">
        <f>IF($A167="","",IF(ISNUMBER(SEARCH("/",$A167)),$A167,IF(Kegiatan!$B$3="","(isi Tanggal dikeluarkan)",$A167&amp;"/"&amp;Kegiatan!$B$15&amp;"/"&amp;ROMAN(MONTH(Kegiatan!$B$3))&amp;"/"&amp;YEAR(Kegiatan!$B$3))))</f>
        <v/>
      </c>
    </row>
    <row r="168" spans="1:9" x14ac:dyDescent="0.3">
      <c r="A168" s="8"/>
      <c r="B168" s="8"/>
      <c r="C168" s="8"/>
      <c r="D168" s="12"/>
      <c r="E168" s="13" t="str">
        <f>IF($B168="","",IFERROR(INDEX(Pegawai!$B:$B,MATCH($B168,Pegawai!$A:$A,0)),""))</f>
        <v/>
      </c>
      <c r="F168" s="13" t="str">
        <f>IF($B168="","",IFERROR(INDEX(Pegawai!$C:$C,MATCH($B168,Pegawai!$A:$A,0)),""))</f>
        <v/>
      </c>
      <c r="G168" s="13" t="str">
        <f>IF($B168="","",IFERROR(INDEX(Pegawai!$D:$D,MATCH($B168,Pegawai!$A:$A,0)),""))</f>
        <v/>
      </c>
      <c r="H168" s="13" t="str">
        <f>IF($B168="","",IF(ISNA(MATCH($B168,Pegawai!$A:$A,0)),"Nama tidak ada di daftar Pegawai",IF($A168="","Nomor SPD belum diisi",IF($C168="","Tempat tujuan kosong",IF(NOT(ISNUMBER($D168)),"Tanggal kosong/bukan tanggal",IF(COUNTIF($B$2:$B$200,$B168)&gt;6,"OK",IF(COUNTIFS($B$2:$B$200,$B168,$A$2:$A$200,"&lt;&gt;"&amp;$A168)&gt;0,"Nomor SPD berbeda untuk pegawai yang sama","OK")))))))</f>
        <v/>
      </c>
      <c r="I168" s="13" t="str">
        <f>IF($A168="","",IF(ISNUMBER(SEARCH("/",$A168)),$A168,IF(Kegiatan!$B$3="","(isi Tanggal dikeluarkan)",$A168&amp;"/"&amp;Kegiatan!$B$15&amp;"/"&amp;ROMAN(MONTH(Kegiatan!$B$3))&amp;"/"&amp;YEAR(Kegiatan!$B$3))))</f>
        <v/>
      </c>
    </row>
    <row r="169" spans="1:9" x14ac:dyDescent="0.3">
      <c r="A169" s="8"/>
      <c r="B169" s="8"/>
      <c r="C169" s="8"/>
      <c r="D169" s="12"/>
      <c r="E169" s="13" t="str">
        <f>IF($B169="","",IFERROR(INDEX(Pegawai!$B:$B,MATCH($B169,Pegawai!$A:$A,0)),""))</f>
        <v/>
      </c>
      <c r="F169" s="13" t="str">
        <f>IF($B169="","",IFERROR(INDEX(Pegawai!$C:$C,MATCH($B169,Pegawai!$A:$A,0)),""))</f>
        <v/>
      </c>
      <c r="G169" s="13" t="str">
        <f>IF($B169="","",IFERROR(INDEX(Pegawai!$D:$D,MATCH($B169,Pegawai!$A:$A,0)),""))</f>
        <v/>
      </c>
      <c r="H169" s="13" t="str">
        <f>IF($B169="","",IF(ISNA(MATCH($B169,Pegawai!$A:$A,0)),"Nama tidak ada di daftar Pegawai",IF($A169="","Nomor SPD belum diisi",IF($C169="","Tempat tujuan kosong",IF(NOT(ISNUMBER($D169)),"Tanggal kosong/bukan tanggal",IF(COUNTIF($B$2:$B$200,$B169)&gt;6,"OK",IF(COUNTIFS($B$2:$B$200,$B169,$A$2:$A$200,"&lt;&gt;"&amp;$A169)&gt;0,"Nomor SPD berbeda untuk pegawai yang sama","OK")))))))</f>
        <v/>
      </c>
      <c r="I169" s="13" t="str">
        <f>IF($A169="","",IF(ISNUMBER(SEARCH("/",$A169)),$A169,IF(Kegiatan!$B$3="","(isi Tanggal dikeluarkan)",$A169&amp;"/"&amp;Kegiatan!$B$15&amp;"/"&amp;ROMAN(MONTH(Kegiatan!$B$3))&amp;"/"&amp;YEAR(Kegiatan!$B$3))))</f>
        <v/>
      </c>
    </row>
    <row r="170" spans="1:9" x14ac:dyDescent="0.3">
      <c r="A170" s="8"/>
      <c r="B170" s="8"/>
      <c r="C170" s="8"/>
      <c r="D170" s="12"/>
      <c r="E170" s="13" t="str">
        <f>IF($B170="","",IFERROR(INDEX(Pegawai!$B:$B,MATCH($B170,Pegawai!$A:$A,0)),""))</f>
        <v/>
      </c>
      <c r="F170" s="13" t="str">
        <f>IF($B170="","",IFERROR(INDEX(Pegawai!$C:$C,MATCH($B170,Pegawai!$A:$A,0)),""))</f>
        <v/>
      </c>
      <c r="G170" s="13" t="str">
        <f>IF($B170="","",IFERROR(INDEX(Pegawai!$D:$D,MATCH($B170,Pegawai!$A:$A,0)),""))</f>
        <v/>
      </c>
      <c r="H170" s="13" t="str">
        <f>IF($B170="","",IF(ISNA(MATCH($B170,Pegawai!$A:$A,0)),"Nama tidak ada di daftar Pegawai",IF($A170="","Nomor SPD belum diisi",IF($C170="","Tempat tujuan kosong",IF(NOT(ISNUMBER($D170)),"Tanggal kosong/bukan tanggal",IF(COUNTIF($B$2:$B$200,$B170)&gt;6,"OK",IF(COUNTIFS($B$2:$B$200,$B170,$A$2:$A$200,"&lt;&gt;"&amp;$A170)&gt;0,"Nomor SPD berbeda untuk pegawai yang sama","OK")))))))</f>
        <v/>
      </c>
      <c r="I170" s="13" t="str">
        <f>IF($A170="","",IF(ISNUMBER(SEARCH("/",$A170)),$A170,IF(Kegiatan!$B$3="","(isi Tanggal dikeluarkan)",$A170&amp;"/"&amp;Kegiatan!$B$15&amp;"/"&amp;ROMAN(MONTH(Kegiatan!$B$3))&amp;"/"&amp;YEAR(Kegiatan!$B$3))))</f>
        <v/>
      </c>
    </row>
    <row r="171" spans="1:9" x14ac:dyDescent="0.3">
      <c r="A171" s="8"/>
      <c r="B171" s="8"/>
      <c r="C171" s="8"/>
      <c r="D171" s="12"/>
      <c r="E171" s="13" t="str">
        <f>IF($B171="","",IFERROR(INDEX(Pegawai!$B:$B,MATCH($B171,Pegawai!$A:$A,0)),""))</f>
        <v/>
      </c>
      <c r="F171" s="13" t="str">
        <f>IF($B171="","",IFERROR(INDEX(Pegawai!$C:$C,MATCH($B171,Pegawai!$A:$A,0)),""))</f>
        <v/>
      </c>
      <c r="G171" s="13" t="str">
        <f>IF($B171="","",IFERROR(INDEX(Pegawai!$D:$D,MATCH($B171,Pegawai!$A:$A,0)),""))</f>
        <v/>
      </c>
      <c r="H171" s="13" t="str">
        <f>IF($B171="","",IF(ISNA(MATCH($B171,Pegawai!$A:$A,0)),"Nama tidak ada di daftar Pegawai",IF($A171="","Nomor SPD belum diisi",IF($C171="","Tempat tujuan kosong",IF(NOT(ISNUMBER($D171)),"Tanggal kosong/bukan tanggal",IF(COUNTIF($B$2:$B$200,$B171)&gt;6,"OK",IF(COUNTIFS($B$2:$B$200,$B171,$A$2:$A$200,"&lt;&gt;"&amp;$A171)&gt;0,"Nomor SPD berbeda untuk pegawai yang sama","OK")))))))</f>
        <v/>
      </c>
      <c r="I171" s="13" t="str">
        <f>IF($A171="","",IF(ISNUMBER(SEARCH("/",$A171)),$A171,IF(Kegiatan!$B$3="","(isi Tanggal dikeluarkan)",$A171&amp;"/"&amp;Kegiatan!$B$15&amp;"/"&amp;ROMAN(MONTH(Kegiatan!$B$3))&amp;"/"&amp;YEAR(Kegiatan!$B$3))))</f>
        <v/>
      </c>
    </row>
    <row r="172" spans="1:9" x14ac:dyDescent="0.3">
      <c r="A172" s="8"/>
      <c r="B172" s="8"/>
      <c r="C172" s="8"/>
      <c r="D172" s="12"/>
      <c r="E172" s="13" t="str">
        <f>IF($B172="","",IFERROR(INDEX(Pegawai!$B:$B,MATCH($B172,Pegawai!$A:$A,0)),""))</f>
        <v/>
      </c>
      <c r="F172" s="13" t="str">
        <f>IF($B172="","",IFERROR(INDEX(Pegawai!$C:$C,MATCH($B172,Pegawai!$A:$A,0)),""))</f>
        <v/>
      </c>
      <c r="G172" s="13" t="str">
        <f>IF($B172="","",IFERROR(INDEX(Pegawai!$D:$D,MATCH($B172,Pegawai!$A:$A,0)),""))</f>
        <v/>
      </c>
      <c r="H172" s="13" t="str">
        <f>IF($B172="","",IF(ISNA(MATCH($B172,Pegawai!$A:$A,0)),"Nama tidak ada di daftar Pegawai",IF($A172="","Nomor SPD belum diisi",IF($C172="","Tempat tujuan kosong",IF(NOT(ISNUMBER($D172)),"Tanggal kosong/bukan tanggal",IF(COUNTIF($B$2:$B$200,$B172)&gt;6,"OK",IF(COUNTIFS($B$2:$B$200,$B172,$A$2:$A$200,"&lt;&gt;"&amp;$A172)&gt;0,"Nomor SPD berbeda untuk pegawai yang sama","OK")))))))</f>
        <v/>
      </c>
      <c r="I172" s="13" t="str">
        <f>IF($A172="","",IF(ISNUMBER(SEARCH("/",$A172)),$A172,IF(Kegiatan!$B$3="","(isi Tanggal dikeluarkan)",$A172&amp;"/"&amp;Kegiatan!$B$15&amp;"/"&amp;ROMAN(MONTH(Kegiatan!$B$3))&amp;"/"&amp;YEAR(Kegiatan!$B$3))))</f>
        <v/>
      </c>
    </row>
    <row r="173" spans="1:9" x14ac:dyDescent="0.3">
      <c r="A173" s="8"/>
      <c r="B173" s="8"/>
      <c r="C173" s="8"/>
      <c r="D173" s="12"/>
      <c r="E173" s="13" t="str">
        <f>IF($B173="","",IFERROR(INDEX(Pegawai!$B:$B,MATCH($B173,Pegawai!$A:$A,0)),""))</f>
        <v/>
      </c>
      <c r="F173" s="13" t="str">
        <f>IF($B173="","",IFERROR(INDEX(Pegawai!$C:$C,MATCH($B173,Pegawai!$A:$A,0)),""))</f>
        <v/>
      </c>
      <c r="G173" s="13" t="str">
        <f>IF($B173="","",IFERROR(INDEX(Pegawai!$D:$D,MATCH($B173,Pegawai!$A:$A,0)),""))</f>
        <v/>
      </c>
      <c r="H173" s="13" t="str">
        <f>IF($B173="","",IF(ISNA(MATCH($B173,Pegawai!$A:$A,0)),"Nama tidak ada di daftar Pegawai",IF($A173="","Nomor SPD belum diisi",IF($C173="","Tempat tujuan kosong",IF(NOT(ISNUMBER($D173)),"Tanggal kosong/bukan tanggal",IF(COUNTIF($B$2:$B$200,$B173)&gt;6,"OK",IF(COUNTIFS($B$2:$B$200,$B173,$A$2:$A$200,"&lt;&gt;"&amp;$A173)&gt;0,"Nomor SPD berbeda untuk pegawai yang sama","OK")))))))</f>
        <v/>
      </c>
      <c r="I173" s="13" t="str">
        <f>IF($A173="","",IF(ISNUMBER(SEARCH("/",$A173)),$A173,IF(Kegiatan!$B$3="","(isi Tanggal dikeluarkan)",$A173&amp;"/"&amp;Kegiatan!$B$15&amp;"/"&amp;ROMAN(MONTH(Kegiatan!$B$3))&amp;"/"&amp;YEAR(Kegiatan!$B$3))))</f>
        <v/>
      </c>
    </row>
    <row r="174" spans="1:9" x14ac:dyDescent="0.3">
      <c r="A174" s="8"/>
      <c r="B174" s="8"/>
      <c r="C174" s="8"/>
      <c r="D174" s="12"/>
      <c r="E174" s="13" t="str">
        <f>IF($B174="","",IFERROR(INDEX(Pegawai!$B:$B,MATCH($B174,Pegawai!$A:$A,0)),""))</f>
        <v/>
      </c>
      <c r="F174" s="13" t="str">
        <f>IF($B174="","",IFERROR(INDEX(Pegawai!$C:$C,MATCH($B174,Pegawai!$A:$A,0)),""))</f>
        <v/>
      </c>
      <c r="G174" s="13" t="str">
        <f>IF($B174="","",IFERROR(INDEX(Pegawai!$D:$D,MATCH($B174,Pegawai!$A:$A,0)),""))</f>
        <v/>
      </c>
      <c r="H174" s="13" t="str">
        <f>IF($B174="","",IF(ISNA(MATCH($B174,Pegawai!$A:$A,0)),"Nama tidak ada di daftar Pegawai",IF($A174="","Nomor SPD belum diisi",IF($C174="","Tempat tujuan kosong",IF(NOT(ISNUMBER($D174)),"Tanggal kosong/bukan tanggal",IF(COUNTIF($B$2:$B$200,$B174)&gt;6,"OK",IF(COUNTIFS($B$2:$B$200,$B174,$A$2:$A$200,"&lt;&gt;"&amp;$A174)&gt;0,"Nomor SPD berbeda untuk pegawai yang sama","OK")))))))</f>
        <v/>
      </c>
      <c r="I174" s="13" t="str">
        <f>IF($A174="","",IF(ISNUMBER(SEARCH("/",$A174)),$A174,IF(Kegiatan!$B$3="","(isi Tanggal dikeluarkan)",$A174&amp;"/"&amp;Kegiatan!$B$15&amp;"/"&amp;ROMAN(MONTH(Kegiatan!$B$3))&amp;"/"&amp;YEAR(Kegiatan!$B$3))))</f>
        <v/>
      </c>
    </row>
    <row r="175" spans="1:9" x14ac:dyDescent="0.3">
      <c r="A175" s="8"/>
      <c r="B175" s="8"/>
      <c r="C175" s="8"/>
      <c r="D175" s="12"/>
      <c r="E175" s="13" t="str">
        <f>IF($B175="","",IFERROR(INDEX(Pegawai!$B:$B,MATCH($B175,Pegawai!$A:$A,0)),""))</f>
        <v/>
      </c>
      <c r="F175" s="13" t="str">
        <f>IF($B175="","",IFERROR(INDEX(Pegawai!$C:$C,MATCH($B175,Pegawai!$A:$A,0)),""))</f>
        <v/>
      </c>
      <c r="G175" s="13" t="str">
        <f>IF($B175="","",IFERROR(INDEX(Pegawai!$D:$D,MATCH($B175,Pegawai!$A:$A,0)),""))</f>
        <v/>
      </c>
      <c r="H175" s="13" t="str">
        <f>IF($B175="","",IF(ISNA(MATCH($B175,Pegawai!$A:$A,0)),"Nama tidak ada di daftar Pegawai",IF($A175="","Nomor SPD belum diisi",IF($C175="","Tempat tujuan kosong",IF(NOT(ISNUMBER($D175)),"Tanggal kosong/bukan tanggal",IF(COUNTIF($B$2:$B$200,$B175)&gt;6,"OK",IF(COUNTIFS($B$2:$B$200,$B175,$A$2:$A$200,"&lt;&gt;"&amp;$A175)&gt;0,"Nomor SPD berbeda untuk pegawai yang sama","OK")))))))</f>
        <v/>
      </c>
      <c r="I175" s="13" t="str">
        <f>IF($A175="","",IF(ISNUMBER(SEARCH("/",$A175)),$A175,IF(Kegiatan!$B$3="","(isi Tanggal dikeluarkan)",$A175&amp;"/"&amp;Kegiatan!$B$15&amp;"/"&amp;ROMAN(MONTH(Kegiatan!$B$3))&amp;"/"&amp;YEAR(Kegiatan!$B$3))))</f>
        <v/>
      </c>
    </row>
    <row r="176" spans="1:9" x14ac:dyDescent="0.3">
      <c r="A176" s="8"/>
      <c r="B176" s="8"/>
      <c r="C176" s="8"/>
      <c r="D176" s="12"/>
      <c r="E176" s="13" t="str">
        <f>IF($B176="","",IFERROR(INDEX(Pegawai!$B:$B,MATCH($B176,Pegawai!$A:$A,0)),""))</f>
        <v/>
      </c>
      <c r="F176" s="13" t="str">
        <f>IF($B176="","",IFERROR(INDEX(Pegawai!$C:$C,MATCH($B176,Pegawai!$A:$A,0)),""))</f>
        <v/>
      </c>
      <c r="G176" s="13" t="str">
        <f>IF($B176="","",IFERROR(INDEX(Pegawai!$D:$D,MATCH($B176,Pegawai!$A:$A,0)),""))</f>
        <v/>
      </c>
      <c r="H176" s="13" t="str">
        <f>IF($B176="","",IF(ISNA(MATCH($B176,Pegawai!$A:$A,0)),"Nama tidak ada di daftar Pegawai",IF($A176="","Nomor SPD belum diisi",IF($C176="","Tempat tujuan kosong",IF(NOT(ISNUMBER($D176)),"Tanggal kosong/bukan tanggal",IF(COUNTIF($B$2:$B$200,$B176)&gt;6,"OK",IF(COUNTIFS($B$2:$B$200,$B176,$A$2:$A$200,"&lt;&gt;"&amp;$A176)&gt;0,"Nomor SPD berbeda untuk pegawai yang sama","OK")))))))</f>
        <v/>
      </c>
      <c r="I176" s="13" t="str">
        <f>IF($A176="","",IF(ISNUMBER(SEARCH("/",$A176)),$A176,IF(Kegiatan!$B$3="","(isi Tanggal dikeluarkan)",$A176&amp;"/"&amp;Kegiatan!$B$15&amp;"/"&amp;ROMAN(MONTH(Kegiatan!$B$3))&amp;"/"&amp;YEAR(Kegiatan!$B$3))))</f>
        <v/>
      </c>
    </row>
    <row r="177" spans="1:9" x14ac:dyDescent="0.3">
      <c r="A177" s="8"/>
      <c r="B177" s="8"/>
      <c r="C177" s="8"/>
      <c r="D177" s="12"/>
      <c r="E177" s="13" t="str">
        <f>IF($B177="","",IFERROR(INDEX(Pegawai!$B:$B,MATCH($B177,Pegawai!$A:$A,0)),""))</f>
        <v/>
      </c>
      <c r="F177" s="13" t="str">
        <f>IF($B177="","",IFERROR(INDEX(Pegawai!$C:$C,MATCH($B177,Pegawai!$A:$A,0)),""))</f>
        <v/>
      </c>
      <c r="G177" s="13" t="str">
        <f>IF($B177="","",IFERROR(INDEX(Pegawai!$D:$D,MATCH($B177,Pegawai!$A:$A,0)),""))</f>
        <v/>
      </c>
      <c r="H177" s="13" t="str">
        <f>IF($B177="","",IF(ISNA(MATCH($B177,Pegawai!$A:$A,0)),"Nama tidak ada di daftar Pegawai",IF($A177="","Nomor SPD belum diisi",IF($C177="","Tempat tujuan kosong",IF(NOT(ISNUMBER($D177)),"Tanggal kosong/bukan tanggal",IF(COUNTIF($B$2:$B$200,$B177)&gt;6,"OK",IF(COUNTIFS($B$2:$B$200,$B177,$A$2:$A$200,"&lt;&gt;"&amp;$A177)&gt;0,"Nomor SPD berbeda untuk pegawai yang sama","OK")))))))</f>
        <v/>
      </c>
      <c r="I177" s="13" t="str">
        <f>IF($A177="","",IF(ISNUMBER(SEARCH("/",$A177)),$A177,IF(Kegiatan!$B$3="","(isi Tanggal dikeluarkan)",$A177&amp;"/"&amp;Kegiatan!$B$15&amp;"/"&amp;ROMAN(MONTH(Kegiatan!$B$3))&amp;"/"&amp;YEAR(Kegiatan!$B$3))))</f>
        <v/>
      </c>
    </row>
    <row r="178" spans="1:9" x14ac:dyDescent="0.3">
      <c r="A178" s="8"/>
      <c r="B178" s="8"/>
      <c r="C178" s="8"/>
      <c r="D178" s="12"/>
      <c r="E178" s="13" t="str">
        <f>IF($B178="","",IFERROR(INDEX(Pegawai!$B:$B,MATCH($B178,Pegawai!$A:$A,0)),""))</f>
        <v/>
      </c>
      <c r="F178" s="13" t="str">
        <f>IF($B178="","",IFERROR(INDEX(Pegawai!$C:$C,MATCH($B178,Pegawai!$A:$A,0)),""))</f>
        <v/>
      </c>
      <c r="G178" s="13" t="str">
        <f>IF($B178="","",IFERROR(INDEX(Pegawai!$D:$D,MATCH($B178,Pegawai!$A:$A,0)),""))</f>
        <v/>
      </c>
      <c r="H178" s="13" t="str">
        <f>IF($B178="","",IF(ISNA(MATCH($B178,Pegawai!$A:$A,0)),"Nama tidak ada di daftar Pegawai",IF($A178="","Nomor SPD belum diisi",IF($C178="","Tempat tujuan kosong",IF(NOT(ISNUMBER($D178)),"Tanggal kosong/bukan tanggal",IF(COUNTIF($B$2:$B$200,$B178)&gt;6,"OK",IF(COUNTIFS($B$2:$B$200,$B178,$A$2:$A$200,"&lt;&gt;"&amp;$A178)&gt;0,"Nomor SPD berbeda untuk pegawai yang sama","OK")))))))</f>
        <v/>
      </c>
      <c r="I178" s="13" t="str">
        <f>IF($A178="","",IF(ISNUMBER(SEARCH("/",$A178)),$A178,IF(Kegiatan!$B$3="","(isi Tanggal dikeluarkan)",$A178&amp;"/"&amp;Kegiatan!$B$15&amp;"/"&amp;ROMAN(MONTH(Kegiatan!$B$3))&amp;"/"&amp;YEAR(Kegiatan!$B$3))))</f>
        <v/>
      </c>
    </row>
    <row r="179" spans="1:9" x14ac:dyDescent="0.3">
      <c r="A179" s="8"/>
      <c r="B179" s="8"/>
      <c r="C179" s="8"/>
      <c r="D179" s="12"/>
      <c r="E179" s="13" t="str">
        <f>IF($B179="","",IFERROR(INDEX(Pegawai!$B:$B,MATCH($B179,Pegawai!$A:$A,0)),""))</f>
        <v/>
      </c>
      <c r="F179" s="13" t="str">
        <f>IF($B179="","",IFERROR(INDEX(Pegawai!$C:$C,MATCH($B179,Pegawai!$A:$A,0)),""))</f>
        <v/>
      </c>
      <c r="G179" s="13" t="str">
        <f>IF($B179="","",IFERROR(INDEX(Pegawai!$D:$D,MATCH($B179,Pegawai!$A:$A,0)),""))</f>
        <v/>
      </c>
      <c r="H179" s="13" t="str">
        <f>IF($B179="","",IF(ISNA(MATCH($B179,Pegawai!$A:$A,0)),"Nama tidak ada di daftar Pegawai",IF($A179="","Nomor SPD belum diisi",IF($C179="","Tempat tujuan kosong",IF(NOT(ISNUMBER($D179)),"Tanggal kosong/bukan tanggal",IF(COUNTIF($B$2:$B$200,$B179)&gt;6,"OK",IF(COUNTIFS($B$2:$B$200,$B179,$A$2:$A$200,"&lt;&gt;"&amp;$A179)&gt;0,"Nomor SPD berbeda untuk pegawai yang sama","OK")))))))</f>
        <v/>
      </c>
      <c r="I179" s="13" t="str">
        <f>IF($A179="","",IF(ISNUMBER(SEARCH("/",$A179)),$A179,IF(Kegiatan!$B$3="","(isi Tanggal dikeluarkan)",$A179&amp;"/"&amp;Kegiatan!$B$15&amp;"/"&amp;ROMAN(MONTH(Kegiatan!$B$3))&amp;"/"&amp;YEAR(Kegiatan!$B$3))))</f>
        <v/>
      </c>
    </row>
    <row r="180" spans="1:9" x14ac:dyDescent="0.3">
      <c r="A180" s="8"/>
      <c r="B180" s="8"/>
      <c r="C180" s="8"/>
      <c r="D180" s="12"/>
      <c r="E180" s="13" t="str">
        <f>IF($B180="","",IFERROR(INDEX(Pegawai!$B:$B,MATCH($B180,Pegawai!$A:$A,0)),""))</f>
        <v/>
      </c>
      <c r="F180" s="13" t="str">
        <f>IF($B180="","",IFERROR(INDEX(Pegawai!$C:$C,MATCH($B180,Pegawai!$A:$A,0)),""))</f>
        <v/>
      </c>
      <c r="G180" s="13" t="str">
        <f>IF($B180="","",IFERROR(INDEX(Pegawai!$D:$D,MATCH($B180,Pegawai!$A:$A,0)),""))</f>
        <v/>
      </c>
      <c r="H180" s="13" t="str">
        <f>IF($B180="","",IF(ISNA(MATCH($B180,Pegawai!$A:$A,0)),"Nama tidak ada di daftar Pegawai",IF($A180="","Nomor SPD belum diisi",IF($C180="","Tempat tujuan kosong",IF(NOT(ISNUMBER($D180)),"Tanggal kosong/bukan tanggal",IF(COUNTIF($B$2:$B$200,$B180)&gt;6,"OK",IF(COUNTIFS($B$2:$B$200,$B180,$A$2:$A$200,"&lt;&gt;"&amp;$A180)&gt;0,"Nomor SPD berbeda untuk pegawai yang sama","OK")))))))</f>
        <v/>
      </c>
      <c r="I180" s="13" t="str">
        <f>IF($A180="","",IF(ISNUMBER(SEARCH("/",$A180)),$A180,IF(Kegiatan!$B$3="","(isi Tanggal dikeluarkan)",$A180&amp;"/"&amp;Kegiatan!$B$15&amp;"/"&amp;ROMAN(MONTH(Kegiatan!$B$3))&amp;"/"&amp;YEAR(Kegiatan!$B$3))))</f>
        <v/>
      </c>
    </row>
    <row r="181" spans="1:9" x14ac:dyDescent="0.3">
      <c r="A181" s="8"/>
      <c r="B181" s="8"/>
      <c r="C181" s="8"/>
      <c r="D181" s="12"/>
      <c r="E181" s="13" t="str">
        <f>IF($B181="","",IFERROR(INDEX(Pegawai!$B:$B,MATCH($B181,Pegawai!$A:$A,0)),""))</f>
        <v/>
      </c>
      <c r="F181" s="13" t="str">
        <f>IF($B181="","",IFERROR(INDEX(Pegawai!$C:$C,MATCH($B181,Pegawai!$A:$A,0)),""))</f>
        <v/>
      </c>
      <c r="G181" s="13" t="str">
        <f>IF($B181="","",IFERROR(INDEX(Pegawai!$D:$D,MATCH($B181,Pegawai!$A:$A,0)),""))</f>
        <v/>
      </c>
      <c r="H181" s="13" t="str">
        <f>IF($B181="","",IF(ISNA(MATCH($B181,Pegawai!$A:$A,0)),"Nama tidak ada di daftar Pegawai",IF($A181="","Nomor SPD belum diisi",IF($C181="","Tempat tujuan kosong",IF(NOT(ISNUMBER($D181)),"Tanggal kosong/bukan tanggal",IF(COUNTIF($B$2:$B$200,$B181)&gt;6,"OK",IF(COUNTIFS($B$2:$B$200,$B181,$A$2:$A$200,"&lt;&gt;"&amp;$A181)&gt;0,"Nomor SPD berbeda untuk pegawai yang sama","OK")))))))</f>
        <v/>
      </c>
      <c r="I181" s="13" t="str">
        <f>IF($A181="","",IF(ISNUMBER(SEARCH("/",$A181)),$A181,IF(Kegiatan!$B$3="","(isi Tanggal dikeluarkan)",$A181&amp;"/"&amp;Kegiatan!$B$15&amp;"/"&amp;ROMAN(MONTH(Kegiatan!$B$3))&amp;"/"&amp;YEAR(Kegiatan!$B$3))))</f>
        <v/>
      </c>
    </row>
    <row r="182" spans="1:9" x14ac:dyDescent="0.3">
      <c r="A182" s="8"/>
      <c r="B182" s="8"/>
      <c r="C182" s="8"/>
      <c r="D182" s="12"/>
      <c r="E182" s="13" t="str">
        <f>IF($B182="","",IFERROR(INDEX(Pegawai!$B:$B,MATCH($B182,Pegawai!$A:$A,0)),""))</f>
        <v/>
      </c>
      <c r="F182" s="13" t="str">
        <f>IF($B182="","",IFERROR(INDEX(Pegawai!$C:$C,MATCH($B182,Pegawai!$A:$A,0)),""))</f>
        <v/>
      </c>
      <c r="G182" s="13" t="str">
        <f>IF($B182="","",IFERROR(INDEX(Pegawai!$D:$D,MATCH($B182,Pegawai!$A:$A,0)),""))</f>
        <v/>
      </c>
      <c r="H182" s="13" t="str">
        <f>IF($B182="","",IF(ISNA(MATCH($B182,Pegawai!$A:$A,0)),"Nama tidak ada di daftar Pegawai",IF($A182="","Nomor SPD belum diisi",IF($C182="","Tempat tujuan kosong",IF(NOT(ISNUMBER($D182)),"Tanggal kosong/bukan tanggal",IF(COUNTIF($B$2:$B$200,$B182)&gt;6,"OK",IF(COUNTIFS($B$2:$B$200,$B182,$A$2:$A$200,"&lt;&gt;"&amp;$A182)&gt;0,"Nomor SPD berbeda untuk pegawai yang sama","OK")))))))</f>
        <v/>
      </c>
      <c r="I182" s="13" t="str">
        <f>IF($A182="","",IF(ISNUMBER(SEARCH("/",$A182)),$A182,IF(Kegiatan!$B$3="","(isi Tanggal dikeluarkan)",$A182&amp;"/"&amp;Kegiatan!$B$15&amp;"/"&amp;ROMAN(MONTH(Kegiatan!$B$3))&amp;"/"&amp;YEAR(Kegiatan!$B$3))))</f>
        <v/>
      </c>
    </row>
    <row r="183" spans="1:9" x14ac:dyDescent="0.3">
      <c r="A183" s="8"/>
      <c r="B183" s="8"/>
      <c r="C183" s="8"/>
      <c r="D183" s="12"/>
      <c r="E183" s="13" t="str">
        <f>IF($B183="","",IFERROR(INDEX(Pegawai!$B:$B,MATCH($B183,Pegawai!$A:$A,0)),""))</f>
        <v/>
      </c>
      <c r="F183" s="13" t="str">
        <f>IF($B183="","",IFERROR(INDEX(Pegawai!$C:$C,MATCH($B183,Pegawai!$A:$A,0)),""))</f>
        <v/>
      </c>
      <c r="G183" s="13" t="str">
        <f>IF($B183="","",IFERROR(INDEX(Pegawai!$D:$D,MATCH($B183,Pegawai!$A:$A,0)),""))</f>
        <v/>
      </c>
      <c r="H183" s="13" t="str">
        <f>IF($B183="","",IF(ISNA(MATCH($B183,Pegawai!$A:$A,0)),"Nama tidak ada di daftar Pegawai",IF($A183="","Nomor SPD belum diisi",IF($C183="","Tempat tujuan kosong",IF(NOT(ISNUMBER($D183)),"Tanggal kosong/bukan tanggal",IF(COUNTIF($B$2:$B$200,$B183)&gt;6,"OK",IF(COUNTIFS($B$2:$B$200,$B183,$A$2:$A$200,"&lt;&gt;"&amp;$A183)&gt;0,"Nomor SPD berbeda untuk pegawai yang sama","OK")))))))</f>
        <v/>
      </c>
      <c r="I183" s="13" t="str">
        <f>IF($A183="","",IF(ISNUMBER(SEARCH("/",$A183)),$A183,IF(Kegiatan!$B$3="","(isi Tanggal dikeluarkan)",$A183&amp;"/"&amp;Kegiatan!$B$15&amp;"/"&amp;ROMAN(MONTH(Kegiatan!$B$3))&amp;"/"&amp;YEAR(Kegiatan!$B$3))))</f>
        <v/>
      </c>
    </row>
    <row r="184" spans="1:9" x14ac:dyDescent="0.3">
      <c r="A184" s="8"/>
      <c r="B184" s="8"/>
      <c r="C184" s="8"/>
      <c r="D184" s="12"/>
      <c r="E184" s="13" t="str">
        <f>IF($B184="","",IFERROR(INDEX(Pegawai!$B:$B,MATCH($B184,Pegawai!$A:$A,0)),""))</f>
        <v/>
      </c>
      <c r="F184" s="13" t="str">
        <f>IF($B184="","",IFERROR(INDEX(Pegawai!$C:$C,MATCH($B184,Pegawai!$A:$A,0)),""))</f>
        <v/>
      </c>
      <c r="G184" s="13" t="str">
        <f>IF($B184="","",IFERROR(INDEX(Pegawai!$D:$D,MATCH($B184,Pegawai!$A:$A,0)),""))</f>
        <v/>
      </c>
      <c r="H184" s="13" t="str">
        <f>IF($B184="","",IF(ISNA(MATCH($B184,Pegawai!$A:$A,0)),"Nama tidak ada di daftar Pegawai",IF($A184="","Nomor SPD belum diisi",IF($C184="","Tempat tujuan kosong",IF(NOT(ISNUMBER($D184)),"Tanggal kosong/bukan tanggal",IF(COUNTIF($B$2:$B$200,$B184)&gt;6,"OK",IF(COUNTIFS($B$2:$B$200,$B184,$A$2:$A$200,"&lt;&gt;"&amp;$A184)&gt;0,"Nomor SPD berbeda untuk pegawai yang sama","OK")))))))</f>
        <v/>
      </c>
      <c r="I184" s="13" t="str">
        <f>IF($A184="","",IF(ISNUMBER(SEARCH("/",$A184)),$A184,IF(Kegiatan!$B$3="","(isi Tanggal dikeluarkan)",$A184&amp;"/"&amp;Kegiatan!$B$15&amp;"/"&amp;ROMAN(MONTH(Kegiatan!$B$3))&amp;"/"&amp;YEAR(Kegiatan!$B$3))))</f>
        <v/>
      </c>
    </row>
    <row r="185" spans="1:9" x14ac:dyDescent="0.3">
      <c r="A185" s="8"/>
      <c r="B185" s="8"/>
      <c r="C185" s="8"/>
      <c r="D185" s="12"/>
      <c r="E185" s="13" t="str">
        <f>IF($B185="","",IFERROR(INDEX(Pegawai!$B:$B,MATCH($B185,Pegawai!$A:$A,0)),""))</f>
        <v/>
      </c>
      <c r="F185" s="13" t="str">
        <f>IF($B185="","",IFERROR(INDEX(Pegawai!$C:$C,MATCH($B185,Pegawai!$A:$A,0)),""))</f>
        <v/>
      </c>
      <c r="G185" s="13" t="str">
        <f>IF($B185="","",IFERROR(INDEX(Pegawai!$D:$D,MATCH($B185,Pegawai!$A:$A,0)),""))</f>
        <v/>
      </c>
      <c r="H185" s="13" t="str">
        <f>IF($B185="","",IF(ISNA(MATCH($B185,Pegawai!$A:$A,0)),"Nama tidak ada di daftar Pegawai",IF($A185="","Nomor SPD belum diisi",IF($C185="","Tempat tujuan kosong",IF(NOT(ISNUMBER($D185)),"Tanggal kosong/bukan tanggal",IF(COUNTIF($B$2:$B$200,$B185)&gt;6,"OK",IF(COUNTIFS($B$2:$B$200,$B185,$A$2:$A$200,"&lt;&gt;"&amp;$A185)&gt;0,"Nomor SPD berbeda untuk pegawai yang sama","OK")))))))</f>
        <v/>
      </c>
      <c r="I185" s="13" t="str">
        <f>IF($A185="","",IF(ISNUMBER(SEARCH("/",$A185)),$A185,IF(Kegiatan!$B$3="","(isi Tanggal dikeluarkan)",$A185&amp;"/"&amp;Kegiatan!$B$15&amp;"/"&amp;ROMAN(MONTH(Kegiatan!$B$3))&amp;"/"&amp;YEAR(Kegiatan!$B$3))))</f>
        <v/>
      </c>
    </row>
    <row r="186" spans="1:9" x14ac:dyDescent="0.3">
      <c r="A186" s="8"/>
      <c r="B186" s="8"/>
      <c r="C186" s="8"/>
      <c r="D186" s="12"/>
      <c r="E186" s="13" t="str">
        <f>IF($B186="","",IFERROR(INDEX(Pegawai!$B:$B,MATCH($B186,Pegawai!$A:$A,0)),""))</f>
        <v/>
      </c>
      <c r="F186" s="13" t="str">
        <f>IF($B186="","",IFERROR(INDEX(Pegawai!$C:$C,MATCH($B186,Pegawai!$A:$A,0)),""))</f>
        <v/>
      </c>
      <c r="G186" s="13" t="str">
        <f>IF($B186="","",IFERROR(INDEX(Pegawai!$D:$D,MATCH($B186,Pegawai!$A:$A,0)),""))</f>
        <v/>
      </c>
      <c r="H186" s="13" t="str">
        <f>IF($B186="","",IF(ISNA(MATCH($B186,Pegawai!$A:$A,0)),"Nama tidak ada di daftar Pegawai",IF($A186="","Nomor SPD belum diisi",IF($C186="","Tempat tujuan kosong",IF(NOT(ISNUMBER($D186)),"Tanggal kosong/bukan tanggal",IF(COUNTIF($B$2:$B$200,$B186)&gt;6,"OK",IF(COUNTIFS($B$2:$B$200,$B186,$A$2:$A$200,"&lt;&gt;"&amp;$A186)&gt;0,"Nomor SPD berbeda untuk pegawai yang sama","OK")))))))</f>
        <v/>
      </c>
      <c r="I186" s="13" t="str">
        <f>IF($A186="","",IF(ISNUMBER(SEARCH("/",$A186)),$A186,IF(Kegiatan!$B$3="","(isi Tanggal dikeluarkan)",$A186&amp;"/"&amp;Kegiatan!$B$15&amp;"/"&amp;ROMAN(MONTH(Kegiatan!$B$3))&amp;"/"&amp;YEAR(Kegiatan!$B$3))))</f>
        <v/>
      </c>
    </row>
    <row r="187" spans="1:9" x14ac:dyDescent="0.3">
      <c r="A187" s="8"/>
      <c r="B187" s="8"/>
      <c r="C187" s="8"/>
      <c r="D187" s="12"/>
      <c r="E187" s="13" t="str">
        <f>IF($B187="","",IFERROR(INDEX(Pegawai!$B:$B,MATCH($B187,Pegawai!$A:$A,0)),""))</f>
        <v/>
      </c>
      <c r="F187" s="13" t="str">
        <f>IF($B187="","",IFERROR(INDEX(Pegawai!$C:$C,MATCH($B187,Pegawai!$A:$A,0)),""))</f>
        <v/>
      </c>
      <c r="G187" s="13" t="str">
        <f>IF($B187="","",IFERROR(INDEX(Pegawai!$D:$D,MATCH($B187,Pegawai!$A:$A,0)),""))</f>
        <v/>
      </c>
      <c r="H187" s="13" t="str">
        <f>IF($B187="","",IF(ISNA(MATCH($B187,Pegawai!$A:$A,0)),"Nama tidak ada di daftar Pegawai",IF($A187="","Nomor SPD belum diisi",IF($C187="","Tempat tujuan kosong",IF(NOT(ISNUMBER($D187)),"Tanggal kosong/bukan tanggal",IF(COUNTIF($B$2:$B$200,$B187)&gt;6,"OK",IF(COUNTIFS($B$2:$B$200,$B187,$A$2:$A$200,"&lt;&gt;"&amp;$A187)&gt;0,"Nomor SPD berbeda untuk pegawai yang sama","OK")))))))</f>
        <v/>
      </c>
      <c r="I187" s="13" t="str">
        <f>IF($A187="","",IF(ISNUMBER(SEARCH("/",$A187)),$A187,IF(Kegiatan!$B$3="","(isi Tanggal dikeluarkan)",$A187&amp;"/"&amp;Kegiatan!$B$15&amp;"/"&amp;ROMAN(MONTH(Kegiatan!$B$3))&amp;"/"&amp;YEAR(Kegiatan!$B$3))))</f>
        <v/>
      </c>
    </row>
    <row r="188" spans="1:9" x14ac:dyDescent="0.3">
      <c r="A188" s="8"/>
      <c r="B188" s="8"/>
      <c r="C188" s="8"/>
      <c r="D188" s="12"/>
      <c r="E188" s="13" t="str">
        <f>IF($B188="","",IFERROR(INDEX(Pegawai!$B:$B,MATCH($B188,Pegawai!$A:$A,0)),""))</f>
        <v/>
      </c>
      <c r="F188" s="13" t="str">
        <f>IF($B188="","",IFERROR(INDEX(Pegawai!$C:$C,MATCH($B188,Pegawai!$A:$A,0)),""))</f>
        <v/>
      </c>
      <c r="G188" s="13" t="str">
        <f>IF($B188="","",IFERROR(INDEX(Pegawai!$D:$D,MATCH($B188,Pegawai!$A:$A,0)),""))</f>
        <v/>
      </c>
      <c r="H188" s="13" t="str">
        <f>IF($B188="","",IF(ISNA(MATCH($B188,Pegawai!$A:$A,0)),"Nama tidak ada di daftar Pegawai",IF($A188="","Nomor SPD belum diisi",IF($C188="","Tempat tujuan kosong",IF(NOT(ISNUMBER($D188)),"Tanggal kosong/bukan tanggal",IF(COUNTIF($B$2:$B$200,$B188)&gt;6,"OK",IF(COUNTIFS($B$2:$B$200,$B188,$A$2:$A$200,"&lt;&gt;"&amp;$A188)&gt;0,"Nomor SPD berbeda untuk pegawai yang sama","OK")))))))</f>
        <v/>
      </c>
      <c r="I188" s="13" t="str">
        <f>IF($A188="","",IF(ISNUMBER(SEARCH("/",$A188)),$A188,IF(Kegiatan!$B$3="","(isi Tanggal dikeluarkan)",$A188&amp;"/"&amp;Kegiatan!$B$15&amp;"/"&amp;ROMAN(MONTH(Kegiatan!$B$3))&amp;"/"&amp;YEAR(Kegiatan!$B$3))))</f>
        <v/>
      </c>
    </row>
    <row r="189" spans="1:9" x14ac:dyDescent="0.3">
      <c r="A189" s="8"/>
      <c r="B189" s="8"/>
      <c r="C189" s="8"/>
      <c r="D189" s="12"/>
      <c r="E189" s="13" t="str">
        <f>IF($B189="","",IFERROR(INDEX(Pegawai!$B:$B,MATCH($B189,Pegawai!$A:$A,0)),""))</f>
        <v/>
      </c>
      <c r="F189" s="13" t="str">
        <f>IF($B189="","",IFERROR(INDEX(Pegawai!$C:$C,MATCH($B189,Pegawai!$A:$A,0)),""))</f>
        <v/>
      </c>
      <c r="G189" s="13" t="str">
        <f>IF($B189="","",IFERROR(INDEX(Pegawai!$D:$D,MATCH($B189,Pegawai!$A:$A,0)),""))</f>
        <v/>
      </c>
      <c r="H189" s="13" t="str">
        <f>IF($B189="","",IF(ISNA(MATCH($B189,Pegawai!$A:$A,0)),"Nama tidak ada di daftar Pegawai",IF($A189="","Nomor SPD belum diisi",IF($C189="","Tempat tujuan kosong",IF(NOT(ISNUMBER($D189)),"Tanggal kosong/bukan tanggal",IF(COUNTIF($B$2:$B$200,$B189)&gt;6,"OK",IF(COUNTIFS($B$2:$B$200,$B189,$A$2:$A$200,"&lt;&gt;"&amp;$A189)&gt;0,"Nomor SPD berbeda untuk pegawai yang sama","OK")))))))</f>
        <v/>
      </c>
      <c r="I189" s="13" t="str">
        <f>IF($A189="","",IF(ISNUMBER(SEARCH("/",$A189)),$A189,IF(Kegiatan!$B$3="","(isi Tanggal dikeluarkan)",$A189&amp;"/"&amp;Kegiatan!$B$15&amp;"/"&amp;ROMAN(MONTH(Kegiatan!$B$3))&amp;"/"&amp;YEAR(Kegiatan!$B$3))))</f>
        <v/>
      </c>
    </row>
    <row r="190" spans="1:9" x14ac:dyDescent="0.3">
      <c r="A190" s="8"/>
      <c r="B190" s="8"/>
      <c r="C190" s="8"/>
      <c r="D190" s="12"/>
      <c r="E190" s="13" t="str">
        <f>IF($B190="","",IFERROR(INDEX(Pegawai!$B:$B,MATCH($B190,Pegawai!$A:$A,0)),""))</f>
        <v/>
      </c>
      <c r="F190" s="13" t="str">
        <f>IF($B190="","",IFERROR(INDEX(Pegawai!$C:$C,MATCH($B190,Pegawai!$A:$A,0)),""))</f>
        <v/>
      </c>
      <c r="G190" s="13" t="str">
        <f>IF($B190="","",IFERROR(INDEX(Pegawai!$D:$D,MATCH($B190,Pegawai!$A:$A,0)),""))</f>
        <v/>
      </c>
      <c r="H190" s="13" t="str">
        <f>IF($B190="","",IF(ISNA(MATCH($B190,Pegawai!$A:$A,0)),"Nama tidak ada di daftar Pegawai",IF($A190="","Nomor SPD belum diisi",IF($C190="","Tempat tujuan kosong",IF(NOT(ISNUMBER($D190)),"Tanggal kosong/bukan tanggal",IF(COUNTIF($B$2:$B$200,$B190)&gt;6,"OK",IF(COUNTIFS($B$2:$B$200,$B190,$A$2:$A$200,"&lt;&gt;"&amp;$A190)&gt;0,"Nomor SPD berbeda untuk pegawai yang sama","OK")))))))</f>
        <v/>
      </c>
      <c r="I190" s="13" t="str">
        <f>IF($A190="","",IF(ISNUMBER(SEARCH("/",$A190)),$A190,IF(Kegiatan!$B$3="","(isi Tanggal dikeluarkan)",$A190&amp;"/"&amp;Kegiatan!$B$15&amp;"/"&amp;ROMAN(MONTH(Kegiatan!$B$3))&amp;"/"&amp;YEAR(Kegiatan!$B$3))))</f>
        <v/>
      </c>
    </row>
    <row r="191" spans="1:9" x14ac:dyDescent="0.3">
      <c r="A191" s="8"/>
      <c r="B191" s="8"/>
      <c r="C191" s="8"/>
      <c r="D191" s="12"/>
      <c r="E191" s="13" t="str">
        <f>IF($B191="","",IFERROR(INDEX(Pegawai!$B:$B,MATCH($B191,Pegawai!$A:$A,0)),""))</f>
        <v/>
      </c>
      <c r="F191" s="13" t="str">
        <f>IF($B191="","",IFERROR(INDEX(Pegawai!$C:$C,MATCH($B191,Pegawai!$A:$A,0)),""))</f>
        <v/>
      </c>
      <c r="G191" s="13" t="str">
        <f>IF($B191="","",IFERROR(INDEX(Pegawai!$D:$D,MATCH($B191,Pegawai!$A:$A,0)),""))</f>
        <v/>
      </c>
      <c r="H191" s="13" t="str">
        <f>IF($B191="","",IF(ISNA(MATCH($B191,Pegawai!$A:$A,0)),"Nama tidak ada di daftar Pegawai",IF($A191="","Nomor SPD belum diisi",IF($C191="","Tempat tujuan kosong",IF(NOT(ISNUMBER($D191)),"Tanggal kosong/bukan tanggal",IF(COUNTIF($B$2:$B$200,$B191)&gt;6,"OK",IF(COUNTIFS($B$2:$B$200,$B191,$A$2:$A$200,"&lt;&gt;"&amp;$A191)&gt;0,"Nomor SPD berbeda untuk pegawai yang sama","OK")))))))</f>
        <v/>
      </c>
      <c r="I191" s="13" t="str">
        <f>IF($A191="","",IF(ISNUMBER(SEARCH("/",$A191)),$A191,IF(Kegiatan!$B$3="","(isi Tanggal dikeluarkan)",$A191&amp;"/"&amp;Kegiatan!$B$15&amp;"/"&amp;ROMAN(MONTH(Kegiatan!$B$3))&amp;"/"&amp;YEAR(Kegiatan!$B$3))))</f>
        <v/>
      </c>
    </row>
    <row r="192" spans="1:9" x14ac:dyDescent="0.3">
      <c r="A192" s="8"/>
      <c r="B192" s="8"/>
      <c r="C192" s="8"/>
      <c r="D192" s="12"/>
      <c r="E192" s="13" t="str">
        <f>IF($B192="","",IFERROR(INDEX(Pegawai!$B:$B,MATCH($B192,Pegawai!$A:$A,0)),""))</f>
        <v/>
      </c>
      <c r="F192" s="13" t="str">
        <f>IF($B192="","",IFERROR(INDEX(Pegawai!$C:$C,MATCH($B192,Pegawai!$A:$A,0)),""))</f>
        <v/>
      </c>
      <c r="G192" s="13" t="str">
        <f>IF($B192="","",IFERROR(INDEX(Pegawai!$D:$D,MATCH($B192,Pegawai!$A:$A,0)),""))</f>
        <v/>
      </c>
      <c r="H192" s="13" t="str">
        <f>IF($B192="","",IF(ISNA(MATCH($B192,Pegawai!$A:$A,0)),"Nama tidak ada di daftar Pegawai",IF($A192="","Nomor SPD belum diisi",IF($C192="","Tempat tujuan kosong",IF(NOT(ISNUMBER($D192)),"Tanggal kosong/bukan tanggal",IF(COUNTIF($B$2:$B$200,$B192)&gt;6,"OK",IF(COUNTIFS($B$2:$B$200,$B192,$A$2:$A$200,"&lt;&gt;"&amp;$A192)&gt;0,"Nomor SPD berbeda untuk pegawai yang sama","OK")))))))</f>
        <v/>
      </c>
      <c r="I192" s="13" t="str">
        <f>IF($A192="","",IF(ISNUMBER(SEARCH("/",$A192)),$A192,IF(Kegiatan!$B$3="","(isi Tanggal dikeluarkan)",$A192&amp;"/"&amp;Kegiatan!$B$15&amp;"/"&amp;ROMAN(MONTH(Kegiatan!$B$3))&amp;"/"&amp;YEAR(Kegiatan!$B$3))))</f>
        <v/>
      </c>
    </row>
    <row r="193" spans="1:9" x14ac:dyDescent="0.3">
      <c r="A193" s="8"/>
      <c r="B193" s="8"/>
      <c r="C193" s="8"/>
      <c r="D193" s="12"/>
      <c r="E193" s="13" t="str">
        <f>IF($B193="","",IFERROR(INDEX(Pegawai!$B:$B,MATCH($B193,Pegawai!$A:$A,0)),""))</f>
        <v/>
      </c>
      <c r="F193" s="13" t="str">
        <f>IF($B193="","",IFERROR(INDEX(Pegawai!$C:$C,MATCH($B193,Pegawai!$A:$A,0)),""))</f>
        <v/>
      </c>
      <c r="G193" s="13" t="str">
        <f>IF($B193="","",IFERROR(INDEX(Pegawai!$D:$D,MATCH($B193,Pegawai!$A:$A,0)),""))</f>
        <v/>
      </c>
      <c r="H193" s="13" t="str">
        <f>IF($B193="","",IF(ISNA(MATCH($B193,Pegawai!$A:$A,0)),"Nama tidak ada di daftar Pegawai",IF($A193="","Nomor SPD belum diisi",IF($C193="","Tempat tujuan kosong",IF(NOT(ISNUMBER($D193)),"Tanggal kosong/bukan tanggal",IF(COUNTIF($B$2:$B$200,$B193)&gt;6,"OK",IF(COUNTIFS($B$2:$B$200,$B193,$A$2:$A$200,"&lt;&gt;"&amp;$A193)&gt;0,"Nomor SPD berbeda untuk pegawai yang sama","OK")))))))</f>
        <v/>
      </c>
      <c r="I193" s="13" t="str">
        <f>IF($A193="","",IF(ISNUMBER(SEARCH("/",$A193)),$A193,IF(Kegiatan!$B$3="","(isi Tanggal dikeluarkan)",$A193&amp;"/"&amp;Kegiatan!$B$15&amp;"/"&amp;ROMAN(MONTH(Kegiatan!$B$3))&amp;"/"&amp;YEAR(Kegiatan!$B$3))))</f>
        <v/>
      </c>
    </row>
    <row r="194" spans="1:9" x14ac:dyDescent="0.3">
      <c r="A194" s="8"/>
      <c r="B194" s="8"/>
      <c r="C194" s="8"/>
      <c r="D194" s="12"/>
      <c r="E194" s="13" t="str">
        <f>IF($B194="","",IFERROR(INDEX(Pegawai!$B:$B,MATCH($B194,Pegawai!$A:$A,0)),""))</f>
        <v/>
      </c>
      <c r="F194" s="13" t="str">
        <f>IF($B194="","",IFERROR(INDEX(Pegawai!$C:$C,MATCH($B194,Pegawai!$A:$A,0)),""))</f>
        <v/>
      </c>
      <c r="G194" s="13" t="str">
        <f>IF($B194="","",IFERROR(INDEX(Pegawai!$D:$D,MATCH($B194,Pegawai!$A:$A,0)),""))</f>
        <v/>
      </c>
      <c r="H194" s="13" t="str">
        <f>IF($B194="","",IF(ISNA(MATCH($B194,Pegawai!$A:$A,0)),"Nama tidak ada di daftar Pegawai",IF($A194="","Nomor SPD belum diisi",IF($C194="","Tempat tujuan kosong",IF(NOT(ISNUMBER($D194)),"Tanggal kosong/bukan tanggal",IF(COUNTIF($B$2:$B$200,$B194)&gt;6,"OK",IF(COUNTIFS($B$2:$B$200,$B194,$A$2:$A$200,"&lt;&gt;"&amp;$A194)&gt;0,"Nomor SPD berbeda untuk pegawai yang sama","OK")))))))</f>
        <v/>
      </c>
      <c r="I194" s="13" t="str">
        <f>IF($A194="","",IF(ISNUMBER(SEARCH("/",$A194)),$A194,IF(Kegiatan!$B$3="","(isi Tanggal dikeluarkan)",$A194&amp;"/"&amp;Kegiatan!$B$15&amp;"/"&amp;ROMAN(MONTH(Kegiatan!$B$3))&amp;"/"&amp;YEAR(Kegiatan!$B$3))))</f>
        <v/>
      </c>
    </row>
    <row r="195" spans="1:9" x14ac:dyDescent="0.3">
      <c r="A195" s="8"/>
      <c r="B195" s="8"/>
      <c r="C195" s="8"/>
      <c r="D195" s="12"/>
      <c r="E195" s="13" t="str">
        <f>IF($B195="","",IFERROR(INDEX(Pegawai!$B:$B,MATCH($B195,Pegawai!$A:$A,0)),""))</f>
        <v/>
      </c>
      <c r="F195" s="13" t="str">
        <f>IF($B195="","",IFERROR(INDEX(Pegawai!$C:$C,MATCH($B195,Pegawai!$A:$A,0)),""))</f>
        <v/>
      </c>
      <c r="G195" s="13" t="str">
        <f>IF($B195="","",IFERROR(INDEX(Pegawai!$D:$D,MATCH($B195,Pegawai!$A:$A,0)),""))</f>
        <v/>
      </c>
      <c r="H195" s="13" t="str">
        <f>IF($B195="","",IF(ISNA(MATCH($B195,Pegawai!$A:$A,0)),"Nama tidak ada di daftar Pegawai",IF($A195="","Nomor SPD belum diisi",IF($C195="","Tempat tujuan kosong",IF(NOT(ISNUMBER($D195)),"Tanggal kosong/bukan tanggal",IF(COUNTIF($B$2:$B$200,$B195)&gt;6,"OK",IF(COUNTIFS($B$2:$B$200,$B195,$A$2:$A$200,"&lt;&gt;"&amp;$A195)&gt;0,"Nomor SPD berbeda untuk pegawai yang sama","OK")))))))</f>
        <v/>
      </c>
      <c r="I195" s="13" t="str">
        <f>IF($A195="","",IF(ISNUMBER(SEARCH("/",$A195)),$A195,IF(Kegiatan!$B$3="","(isi Tanggal dikeluarkan)",$A195&amp;"/"&amp;Kegiatan!$B$15&amp;"/"&amp;ROMAN(MONTH(Kegiatan!$B$3))&amp;"/"&amp;YEAR(Kegiatan!$B$3))))</f>
        <v/>
      </c>
    </row>
    <row r="196" spans="1:9" x14ac:dyDescent="0.3">
      <c r="A196" s="8"/>
      <c r="B196" s="8"/>
      <c r="C196" s="8"/>
      <c r="D196" s="12"/>
      <c r="E196" s="13" t="str">
        <f>IF($B196="","",IFERROR(INDEX(Pegawai!$B:$B,MATCH($B196,Pegawai!$A:$A,0)),""))</f>
        <v/>
      </c>
      <c r="F196" s="13" t="str">
        <f>IF($B196="","",IFERROR(INDEX(Pegawai!$C:$C,MATCH($B196,Pegawai!$A:$A,0)),""))</f>
        <v/>
      </c>
      <c r="G196" s="13" t="str">
        <f>IF($B196="","",IFERROR(INDEX(Pegawai!$D:$D,MATCH($B196,Pegawai!$A:$A,0)),""))</f>
        <v/>
      </c>
      <c r="H196" s="13" t="str">
        <f>IF($B196="","",IF(ISNA(MATCH($B196,Pegawai!$A:$A,0)),"Nama tidak ada di daftar Pegawai",IF($A196="","Nomor SPD belum diisi",IF($C196="","Tempat tujuan kosong",IF(NOT(ISNUMBER($D196)),"Tanggal kosong/bukan tanggal",IF(COUNTIF($B$2:$B$200,$B196)&gt;6,"OK",IF(COUNTIFS($B$2:$B$200,$B196,$A$2:$A$200,"&lt;&gt;"&amp;$A196)&gt;0,"Nomor SPD berbeda untuk pegawai yang sama","OK")))))))</f>
        <v/>
      </c>
      <c r="I196" s="13" t="str">
        <f>IF($A196="","",IF(ISNUMBER(SEARCH("/",$A196)),$A196,IF(Kegiatan!$B$3="","(isi Tanggal dikeluarkan)",$A196&amp;"/"&amp;Kegiatan!$B$15&amp;"/"&amp;ROMAN(MONTH(Kegiatan!$B$3))&amp;"/"&amp;YEAR(Kegiatan!$B$3))))</f>
        <v/>
      </c>
    </row>
    <row r="197" spans="1:9" x14ac:dyDescent="0.3">
      <c r="A197" s="8"/>
      <c r="B197" s="8"/>
      <c r="C197" s="8"/>
      <c r="D197" s="12"/>
      <c r="E197" s="13" t="str">
        <f>IF($B197="","",IFERROR(INDEX(Pegawai!$B:$B,MATCH($B197,Pegawai!$A:$A,0)),""))</f>
        <v/>
      </c>
      <c r="F197" s="13" t="str">
        <f>IF($B197="","",IFERROR(INDEX(Pegawai!$C:$C,MATCH($B197,Pegawai!$A:$A,0)),""))</f>
        <v/>
      </c>
      <c r="G197" s="13" t="str">
        <f>IF($B197="","",IFERROR(INDEX(Pegawai!$D:$D,MATCH($B197,Pegawai!$A:$A,0)),""))</f>
        <v/>
      </c>
      <c r="H197" s="13" t="str">
        <f>IF($B197="","",IF(ISNA(MATCH($B197,Pegawai!$A:$A,0)),"Nama tidak ada di daftar Pegawai",IF($A197="","Nomor SPD belum diisi",IF($C197="","Tempat tujuan kosong",IF(NOT(ISNUMBER($D197)),"Tanggal kosong/bukan tanggal",IF(COUNTIF($B$2:$B$200,$B197)&gt;6,"OK",IF(COUNTIFS($B$2:$B$200,$B197,$A$2:$A$200,"&lt;&gt;"&amp;$A197)&gt;0,"Nomor SPD berbeda untuk pegawai yang sama","OK")))))))</f>
        <v/>
      </c>
      <c r="I197" s="13" t="str">
        <f>IF($A197="","",IF(ISNUMBER(SEARCH("/",$A197)),$A197,IF(Kegiatan!$B$3="","(isi Tanggal dikeluarkan)",$A197&amp;"/"&amp;Kegiatan!$B$15&amp;"/"&amp;ROMAN(MONTH(Kegiatan!$B$3))&amp;"/"&amp;YEAR(Kegiatan!$B$3))))</f>
        <v/>
      </c>
    </row>
    <row r="198" spans="1:9" x14ac:dyDescent="0.3">
      <c r="A198" s="8"/>
      <c r="B198" s="8"/>
      <c r="C198" s="8"/>
      <c r="D198" s="12"/>
      <c r="E198" s="13" t="str">
        <f>IF($B198="","",IFERROR(INDEX(Pegawai!$B:$B,MATCH($B198,Pegawai!$A:$A,0)),""))</f>
        <v/>
      </c>
      <c r="F198" s="13" t="str">
        <f>IF($B198="","",IFERROR(INDEX(Pegawai!$C:$C,MATCH($B198,Pegawai!$A:$A,0)),""))</f>
        <v/>
      </c>
      <c r="G198" s="13" t="str">
        <f>IF($B198="","",IFERROR(INDEX(Pegawai!$D:$D,MATCH($B198,Pegawai!$A:$A,0)),""))</f>
        <v/>
      </c>
      <c r="H198" s="13" t="str">
        <f>IF($B198="","",IF(ISNA(MATCH($B198,Pegawai!$A:$A,0)),"Nama tidak ada di daftar Pegawai",IF($A198="","Nomor SPD belum diisi",IF($C198="","Tempat tujuan kosong",IF(NOT(ISNUMBER($D198)),"Tanggal kosong/bukan tanggal",IF(COUNTIF($B$2:$B$200,$B198)&gt;6,"OK",IF(COUNTIFS($B$2:$B$200,$B198,$A$2:$A$200,"&lt;&gt;"&amp;$A198)&gt;0,"Nomor SPD berbeda untuk pegawai yang sama","OK")))))))</f>
        <v/>
      </c>
      <c r="I198" s="13" t="str">
        <f>IF($A198="","",IF(ISNUMBER(SEARCH("/",$A198)),$A198,IF(Kegiatan!$B$3="","(isi Tanggal dikeluarkan)",$A198&amp;"/"&amp;Kegiatan!$B$15&amp;"/"&amp;ROMAN(MONTH(Kegiatan!$B$3))&amp;"/"&amp;YEAR(Kegiatan!$B$3))))</f>
        <v/>
      </c>
    </row>
    <row r="199" spans="1:9" x14ac:dyDescent="0.3">
      <c r="A199" s="8"/>
      <c r="B199" s="8"/>
      <c r="C199" s="8"/>
      <c r="D199" s="12"/>
      <c r="E199" s="13" t="str">
        <f>IF($B199="","",IFERROR(INDEX(Pegawai!$B:$B,MATCH($B199,Pegawai!$A:$A,0)),""))</f>
        <v/>
      </c>
      <c r="F199" s="13" t="str">
        <f>IF($B199="","",IFERROR(INDEX(Pegawai!$C:$C,MATCH($B199,Pegawai!$A:$A,0)),""))</f>
        <v/>
      </c>
      <c r="G199" s="13" t="str">
        <f>IF($B199="","",IFERROR(INDEX(Pegawai!$D:$D,MATCH($B199,Pegawai!$A:$A,0)),""))</f>
        <v/>
      </c>
      <c r="H199" s="13" t="str">
        <f>IF($B199="","",IF(ISNA(MATCH($B199,Pegawai!$A:$A,0)),"Nama tidak ada di daftar Pegawai",IF($A199="","Nomor SPD belum diisi",IF($C199="","Tempat tujuan kosong",IF(NOT(ISNUMBER($D199)),"Tanggal kosong/bukan tanggal",IF(COUNTIF($B$2:$B$200,$B199)&gt;6,"OK",IF(COUNTIFS($B$2:$B$200,$B199,$A$2:$A$200,"&lt;&gt;"&amp;$A199)&gt;0,"Nomor SPD berbeda untuk pegawai yang sama","OK")))))))</f>
        <v/>
      </c>
      <c r="I199" s="13" t="str">
        <f>IF($A199="","",IF(ISNUMBER(SEARCH("/",$A199)),$A199,IF(Kegiatan!$B$3="","(isi Tanggal dikeluarkan)",$A199&amp;"/"&amp;Kegiatan!$B$15&amp;"/"&amp;ROMAN(MONTH(Kegiatan!$B$3))&amp;"/"&amp;YEAR(Kegiatan!$B$3))))</f>
        <v/>
      </c>
    </row>
    <row r="200" spans="1:9" x14ac:dyDescent="0.3">
      <c r="A200" s="8"/>
      <c r="B200" s="8"/>
      <c r="C200" s="8"/>
      <c r="D200" s="12"/>
      <c r="E200" s="13" t="str">
        <f>IF($B200="","",IFERROR(INDEX(Pegawai!$B:$B,MATCH($B200,Pegawai!$A:$A,0)),""))</f>
        <v/>
      </c>
      <c r="F200" s="13" t="str">
        <f>IF($B200="","",IFERROR(INDEX(Pegawai!$C:$C,MATCH($B200,Pegawai!$A:$A,0)),""))</f>
        <v/>
      </c>
      <c r="G200" s="13" t="str">
        <f>IF($B200="","",IFERROR(INDEX(Pegawai!$D:$D,MATCH($B200,Pegawai!$A:$A,0)),""))</f>
        <v/>
      </c>
      <c r="H200" s="13" t="str">
        <f>IF($B200="","",IF(ISNA(MATCH($B200,Pegawai!$A:$A,0)),"Nama tidak ada di daftar Pegawai",IF($A200="","Nomor SPD belum diisi",IF($C200="","Tempat tujuan kosong",IF(NOT(ISNUMBER($D200)),"Tanggal kosong/bukan tanggal",IF(COUNTIF($B$2:$B$200,$B200)&gt;6,"OK",IF(COUNTIFS($B$2:$B$200,$B200,$A$2:$A$200,"&lt;&gt;"&amp;$A200)&gt;0,"Nomor SPD berbeda untuk pegawai yang sama","OK")))))))</f>
        <v/>
      </c>
      <c r="I200" s="13" t="str">
        <f>IF($A200="","",IF(ISNUMBER(SEARCH("/",$A200)),$A200,IF(Kegiatan!$B$3="","(isi Tanggal dikeluarkan)",$A200&amp;"/"&amp;Kegiatan!$B$15&amp;"/"&amp;ROMAN(MONTH(Kegiatan!$B$3))&amp;"/"&amp;YEAR(Kegiatan!$B$3))))</f>
        <v/>
      </c>
    </row>
  </sheetData>
  <autoFilter ref="A1:I200" xr:uid="{00000000-0009-0000-0000-000003000000}"/>
  <phoneticPr fontId="6" type="noConversion"/>
  <conditionalFormatting sqref="H2:H200">
    <cfRule type="expression" dxfId="1" priority="2">
      <formula>AND($H2&lt;&gt;"",$H2&lt;&gt;"OK")</formula>
    </cfRule>
    <cfRule type="expression" dxfId="0" priority="3">
      <formula>$H2="OK"</formula>
    </cfRule>
  </conditionalFormatting>
  <dataValidations count="1">
    <dataValidation type="date" operator="greaterThan" allowBlank="1" showErrorMessage="1" errorTitle="Tanggal" error="Isi dengan tanggal valid (dd-mm-yyyy)." sqref="D2:D200" xr:uid="{00000000-0002-0000-0300-000001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Nama tidak dikenal" error="Pilih nama dari daftar (sheet Pegawai)." xr:uid="{00000000-0002-0000-0300-000000000000}">
          <x14:formula1>
            <xm:f>OFFSET(Pegawai!$A$2,0,0,MAX(1,COUNTA(Pegawai!$A$2:$A$300)),1)</xm:f>
          </x14:formula1>
          <x14:formula2>
            <xm:f>0</xm:f>
          </x14:formula2>
          <xm:sqref>B2:B200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Kegiatan</vt:lpstr>
      <vt:lpstr>Pegawai</vt:lpstr>
      <vt:lpstr>Penugasan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2026-10-05T13:08:53Z</dcterms:created>
  <dcterms:modified xsi:type="dcterms:W3CDTF">2026-10-05T13:16:08Z</dcterms:modified>
  <dc:language>en-US</dc:language>
</cp:coreProperties>
</file>